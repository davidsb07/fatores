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Área de Trabalho\ESTUDO\Curso de Avaliações\Final\"/>
    </mc:Choice>
  </mc:AlternateContent>
  <xr:revisionPtr revIDLastSave="0" documentId="13_ncr:1_{00B20C73-CDF7-4B8C-9A56-F69F8C795E88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Cálculos" sheetId="9" r:id="rId1"/>
    <sheet name="Ter_Carol" sheetId="10" state="hidden" r:id="rId2"/>
    <sheet name="Aps_Carol" sheetId="11" state="hidden" r:id="rId3"/>
    <sheet name="Dicionários" sheetId="4" r:id="rId4"/>
    <sheet name="Senhas" sheetId="5" r:id="rId5"/>
    <sheet name="apoio" sheetId="3" state="hidden" r:id="rId6"/>
  </sheets>
  <definedNames>
    <definedName name="_xlnm._FilterDatabase" localSheetId="2" hidden="1">Aps_Carol!$A$2:$AH$2</definedName>
    <definedName name="_xlnm._FilterDatabase" localSheetId="0" hidden="1">Cálculos!$A$2:$AH$2</definedName>
    <definedName name="_xlnm._FilterDatabase" localSheetId="1" hidden="1">Ter_Carol!$A$2:$AH$2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7" i="10" l="1"/>
  <c r="AU18" i="11"/>
  <c r="Z18" i="11"/>
  <c r="BG15" i="11" s="1"/>
  <c r="X18" i="11"/>
  <c r="V18" i="11"/>
  <c r="T18" i="11"/>
  <c r="R18" i="11"/>
  <c r="P18" i="11"/>
  <c r="N18" i="11"/>
  <c r="K18" i="11"/>
  <c r="AT18" i="11" s="1"/>
  <c r="D18" i="11"/>
  <c r="BH17" i="11"/>
  <c r="BF17" i="11"/>
  <c r="BE17" i="11"/>
  <c r="BD17" i="11"/>
  <c r="BC17" i="11"/>
  <c r="BA17" i="11"/>
  <c r="AY17" i="11"/>
  <c r="AX17" i="11"/>
  <c r="AW17" i="11"/>
  <c r="AU17" i="11"/>
  <c r="AR17" i="11"/>
  <c r="AQ17" i="11"/>
  <c r="AP17" i="11"/>
  <c r="AO17" i="11"/>
  <c r="AL17" i="11"/>
  <c r="AK17" i="11"/>
  <c r="AM17" i="11" s="1"/>
  <c r="AJ17" i="11"/>
  <c r="AH17" i="11"/>
  <c r="BL17" i="11" s="1"/>
  <c r="BM17" i="11" s="1"/>
  <c r="AF17" i="11"/>
  <c r="AD17" i="11"/>
  <c r="Z17" i="11"/>
  <c r="X17" i="11"/>
  <c r="V17" i="11"/>
  <c r="T17" i="11"/>
  <c r="R17" i="11"/>
  <c r="P17" i="11"/>
  <c r="BB17" i="11" s="1"/>
  <c r="N17" i="11"/>
  <c r="K17" i="11"/>
  <c r="AT17" i="11" s="1"/>
  <c r="D17" i="11"/>
  <c r="BH16" i="11"/>
  <c r="BF16" i="11"/>
  <c r="BE16" i="11"/>
  <c r="BD16" i="11"/>
  <c r="BC16" i="11"/>
  <c r="BA16" i="11"/>
  <c r="AY16" i="11"/>
  <c r="AW16" i="11"/>
  <c r="AU16" i="11"/>
  <c r="AQ16" i="11"/>
  <c r="AP16" i="11"/>
  <c r="AR16" i="11" s="1"/>
  <c r="AO16" i="11"/>
  <c r="AM16" i="11"/>
  <c r="AX16" i="11" s="1"/>
  <c r="AL16" i="11"/>
  <c r="AK16" i="11"/>
  <c r="AJ16" i="11"/>
  <c r="AF16" i="11"/>
  <c r="AH16" i="11" s="1"/>
  <c r="Z16" i="11"/>
  <c r="BG16" i="11" s="1"/>
  <c r="X16" i="11"/>
  <c r="V16" i="11"/>
  <c r="T16" i="11"/>
  <c r="R16" i="11"/>
  <c r="P16" i="11"/>
  <c r="BB16" i="11" s="1"/>
  <c r="N16" i="11"/>
  <c r="K16" i="11"/>
  <c r="AZ16" i="11" s="1"/>
  <c r="D16" i="11"/>
  <c r="BH15" i="11"/>
  <c r="BF15" i="11"/>
  <c r="BE15" i="11"/>
  <c r="BD15" i="11"/>
  <c r="BC15" i="11"/>
  <c r="BA15" i="11"/>
  <c r="AY15" i="11"/>
  <c r="AW15" i="11"/>
  <c r="AU15" i="11"/>
  <c r="AT15" i="11"/>
  <c r="AQ15" i="11"/>
  <c r="AP15" i="11"/>
  <c r="AR15" i="11" s="1"/>
  <c r="AO15" i="11"/>
  <c r="AL15" i="11"/>
  <c r="AK15" i="11"/>
  <c r="AM15" i="11" s="1"/>
  <c r="AJ15" i="11"/>
  <c r="AF15" i="11"/>
  <c r="AH15" i="11" s="1"/>
  <c r="Z15" i="11"/>
  <c r="X15" i="11"/>
  <c r="V15" i="11"/>
  <c r="T15" i="11"/>
  <c r="R15" i="11"/>
  <c r="P15" i="11"/>
  <c r="BB15" i="11" s="1"/>
  <c r="N15" i="11"/>
  <c r="K15" i="11"/>
  <c r="AZ15" i="11" s="1"/>
  <c r="D15" i="11"/>
  <c r="BH14" i="11"/>
  <c r="BF14" i="11"/>
  <c r="BE14" i="11"/>
  <c r="BD14" i="11"/>
  <c r="BC14" i="11"/>
  <c r="BA14" i="11"/>
  <c r="AY14" i="11"/>
  <c r="AW14" i="11"/>
  <c r="AU14" i="11"/>
  <c r="AQ14" i="11"/>
  <c r="AP14" i="11"/>
  <c r="AR14" i="11" s="1"/>
  <c r="AO14" i="11"/>
  <c r="AL14" i="11"/>
  <c r="AK14" i="11"/>
  <c r="AM14" i="11" s="1"/>
  <c r="AJ14" i="11"/>
  <c r="AX14" i="11" s="1"/>
  <c r="AF14" i="11"/>
  <c r="AH14" i="11" s="1"/>
  <c r="Z14" i="11"/>
  <c r="BG14" i="11" s="1"/>
  <c r="X14" i="11"/>
  <c r="V14" i="11"/>
  <c r="T14" i="11"/>
  <c r="R14" i="11"/>
  <c r="P14" i="11"/>
  <c r="BB14" i="11" s="1"/>
  <c r="N14" i="11"/>
  <c r="K14" i="11"/>
  <c r="AT14" i="11" s="1"/>
  <c r="D14" i="11"/>
  <c r="BH13" i="11"/>
  <c r="BF13" i="11"/>
  <c r="BE13" i="11"/>
  <c r="BD13" i="11"/>
  <c r="BC13" i="11"/>
  <c r="BA13" i="11"/>
  <c r="AY13" i="11"/>
  <c r="AW13" i="11"/>
  <c r="AU13" i="11"/>
  <c r="AT13" i="11"/>
  <c r="AQ13" i="11"/>
  <c r="AP13" i="11"/>
  <c r="AR13" i="11" s="1"/>
  <c r="AO13" i="11"/>
  <c r="AL13" i="11"/>
  <c r="AK13" i="11"/>
  <c r="AM13" i="11" s="1"/>
  <c r="AJ13" i="11"/>
  <c r="AX13" i="11" s="1"/>
  <c r="AF13" i="11"/>
  <c r="AH13" i="11" s="1"/>
  <c r="Z13" i="11"/>
  <c r="BG13" i="11" s="1"/>
  <c r="X13" i="11"/>
  <c r="V13" i="11"/>
  <c r="T13" i="11"/>
  <c r="R13" i="11"/>
  <c r="P13" i="11"/>
  <c r="BB13" i="11" s="1"/>
  <c r="N13" i="11"/>
  <c r="K13" i="11"/>
  <c r="AZ13" i="11" s="1"/>
  <c r="D13" i="11"/>
  <c r="BH12" i="11"/>
  <c r="BF12" i="11"/>
  <c r="BE12" i="11"/>
  <c r="BD12" i="11"/>
  <c r="BC12" i="11"/>
  <c r="BA12" i="11"/>
  <c r="AY12" i="11"/>
  <c r="AW12" i="11"/>
  <c r="AU12" i="11"/>
  <c r="AQ12" i="11"/>
  <c r="AP12" i="11"/>
  <c r="AR12" i="11" s="1"/>
  <c r="AO12" i="11"/>
  <c r="AL12" i="11"/>
  <c r="AK12" i="11"/>
  <c r="AM12" i="11" s="1"/>
  <c r="AJ12" i="11"/>
  <c r="AF12" i="11"/>
  <c r="AH12" i="11" s="1"/>
  <c r="Z12" i="11"/>
  <c r="BG12" i="11" s="1"/>
  <c r="X12" i="11"/>
  <c r="V12" i="11"/>
  <c r="T12" i="11"/>
  <c r="R12" i="11"/>
  <c r="P12" i="11"/>
  <c r="BB12" i="11" s="1"/>
  <c r="N12" i="11"/>
  <c r="K12" i="11"/>
  <c r="AZ12" i="11" s="1"/>
  <c r="D12" i="11"/>
  <c r="BH11" i="11"/>
  <c r="BF11" i="11"/>
  <c r="BE11" i="11"/>
  <c r="BD11" i="11"/>
  <c r="BC11" i="11"/>
  <c r="BA11" i="11"/>
  <c r="AY11" i="11"/>
  <c r="AW11" i="11"/>
  <c r="AU11" i="11"/>
  <c r="AT11" i="11"/>
  <c r="AR11" i="11"/>
  <c r="AQ11" i="11"/>
  <c r="AP11" i="11"/>
  <c r="AO11" i="11"/>
  <c r="AM11" i="11"/>
  <c r="AX11" i="11" s="1"/>
  <c r="AL11" i="11"/>
  <c r="AK11" i="11"/>
  <c r="AJ11" i="11"/>
  <c r="AH11" i="11"/>
  <c r="AF11" i="11"/>
  <c r="Z11" i="11"/>
  <c r="BG11" i="11" s="1"/>
  <c r="X11" i="11"/>
  <c r="V11" i="11"/>
  <c r="T11" i="11"/>
  <c r="R11" i="11"/>
  <c r="P11" i="11"/>
  <c r="BB11" i="11" s="1"/>
  <c r="N11" i="11"/>
  <c r="K11" i="11"/>
  <c r="AZ11" i="11" s="1"/>
  <c r="D11" i="11"/>
  <c r="BH10" i="11"/>
  <c r="BF10" i="11"/>
  <c r="BE10" i="11"/>
  <c r="BD10" i="11"/>
  <c r="BC10" i="11"/>
  <c r="BA10" i="11"/>
  <c r="AY10" i="11"/>
  <c r="AW10" i="11"/>
  <c r="AU10" i="11"/>
  <c r="AQ10" i="11"/>
  <c r="AR10" i="11" s="1"/>
  <c r="AP10" i="11"/>
  <c r="AO10" i="11"/>
  <c r="AM10" i="11"/>
  <c r="AX10" i="11" s="1"/>
  <c r="AL10" i="11"/>
  <c r="AK10" i="11"/>
  <c r="AJ10" i="11"/>
  <c r="AF10" i="11"/>
  <c r="AH10" i="11" s="1"/>
  <c r="Z10" i="11"/>
  <c r="BG10" i="11" s="1"/>
  <c r="X10" i="11"/>
  <c r="V10" i="11"/>
  <c r="T10" i="11"/>
  <c r="R10" i="11"/>
  <c r="P10" i="11"/>
  <c r="BB10" i="11" s="1"/>
  <c r="N10" i="11"/>
  <c r="K10" i="11"/>
  <c r="AT10" i="11" s="1"/>
  <c r="D10" i="11"/>
  <c r="BH9" i="11"/>
  <c r="BF9" i="11"/>
  <c r="BE9" i="11"/>
  <c r="BD9" i="11"/>
  <c r="BC9" i="11"/>
  <c r="BA9" i="11"/>
  <c r="AY9" i="11"/>
  <c r="AW9" i="11"/>
  <c r="AU9" i="11"/>
  <c r="AQ9" i="11"/>
  <c r="AP9" i="11"/>
  <c r="AR9" i="11" s="1"/>
  <c r="AO9" i="11"/>
  <c r="AL9" i="11"/>
  <c r="AK9" i="11"/>
  <c r="AM9" i="11" s="1"/>
  <c r="AJ9" i="11"/>
  <c r="AF9" i="11"/>
  <c r="AH9" i="11" s="1"/>
  <c r="AD9" i="11"/>
  <c r="Z9" i="11"/>
  <c r="BG9" i="11" s="1"/>
  <c r="X9" i="11"/>
  <c r="V9" i="11"/>
  <c r="T9" i="11"/>
  <c r="R9" i="11"/>
  <c r="P9" i="11"/>
  <c r="BB9" i="11" s="1"/>
  <c r="N9" i="11"/>
  <c r="K9" i="11"/>
  <c r="AZ9" i="11" s="1"/>
  <c r="D9" i="11"/>
  <c r="BH8" i="11"/>
  <c r="BF8" i="11"/>
  <c r="BE8" i="11"/>
  <c r="BD8" i="11"/>
  <c r="BC8" i="11"/>
  <c r="BA8" i="11"/>
  <c r="AY8" i="11"/>
  <c r="AW8" i="11"/>
  <c r="AU8" i="11"/>
  <c r="AT8" i="11"/>
  <c r="AQ8" i="11"/>
  <c r="AP8" i="11"/>
  <c r="AR8" i="11" s="1"/>
  <c r="AO8" i="11"/>
  <c r="AL8" i="11"/>
  <c r="AK8" i="11"/>
  <c r="AM8" i="11" s="1"/>
  <c r="AJ8" i="11"/>
  <c r="AX8" i="11" s="1"/>
  <c r="AF8" i="11"/>
  <c r="AH8" i="11" s="1"/>
  <c r="AD8" i="11"/>
  <c r="Z8" i="11"/>
  <c r="BG8" i="11" s="1"/>
  <c r="X8" i="11"/>
  <c r="V8" i="11"/>
  <c r="T8" i="11"/>
  <c r="R8" i="11"/>
  <c r="P8" i="11"/>
  <c r="BB8" i="11" s="1"/>
  <c r="N8" i="11"/>
  <c r="K8" i="11"/>
  <c r="AZ8" i="11" s="1"/>
  <c r="D8" i="11"/>
  <c r="BH7" i="11"/>
  <c r="BF7" i="11"/>
  <c r="BE7" i="11"/>
  <c r="BD7" i="11"/>
  <c r="BC7" i="11"/>
  <c r="BA7" i="11"/>
  <c r="AY7" i="11"/>
  <c r="AW7" i="11"/>
  <c r="AU7" i="11"/>
  <c r="AT7" i="11"/>
  <c r="AR7" i="11"/>
  <c r="AQ7" i="11"/>
  <c r="AP7" i="11"/>
  <c r="AO7" i="11"/>
  <c r="AM7" i="11"/>
  <c r="AX7" i="11" s="1"/>
  <c r="AL7" i="11"/>
  <c r="AK7" i="11"/>
  <c r="AJ7" i="11"/>
  <c r="AH7" i="11"/>
  <c r="AF7" i="11"/>
  <c r="AD7" i="11"/>
  <c r="Z7" i="11"/>
  <c r="BG7" i="11" s="1"/>
  <c r="X7" i="11"/>
  <c r="V7" i="11"/>
  <c r="T7" i="11"/>
  <c r="R7" i="11"/>
  <c r="P7" i="11"/>
  <c r="BB7" i="11" s="1"/>
  <c r="N7" i="11"/>
  <c r="K7" i="11"/>
  <c r="AZ7" i="11" s="1"/>
  <c r="D7" i="11"/>
  <c r="BH6" i="11"/>
  <c r="BF6" i="11"/>
  <c r="BE6" i="11"/>
  <c r="BD6" i="11"/>
  <c r="BC6" i="11"/>
  <c r="BA6" i="11"/>
  <c r="AY6" i="11"/>
  <c r="AW6" i="11"/>
  <c r="AU6" i="11"/>
  <c r="AT6" i="11"/>
  <c r="AR6" i="11"/>
  <c r="AQ6" i="11"/>
  <c r="AP6" i="11"/>
  <c r="AO6" i="11"/>
  <c r="AL6" i="11"/>
  <c r="AM6" i="11" s="1"/>
  <c r="AK6" i="11"/>
  <c r="AJ6" i="11"/>
  <c r="AH6" i="11"/>
  <c r="AF6" i="11"/>
  <c r="Z6" i="11"/>
  <c r="BG6" i="11" s="1"/>
  <c r="X6" i="11"/>
  <c r="V6" i="11"/>
  <c r="T6" i="11"/>
  <c r="R6" i="11"/>
  <c r="P6" i="11"/>
  <c r="BB6" i="11" s="1"/>
  <c r="N6" i="11"/>
  <c r="K6" i="11"/>
  <c r="AZ6" i="11" s="1"/>
  <c r="D6" i="11"/>
  <c r="BH5" i="11"/>
  <c r="BF5" i="11"/>
  <c r="BE5" i="11"/>
  <c r="BD5" i="11"/>
  <c r="BC5" i="11"/>
  <c r="BA5" i="11"/>
  <c r="AY5" i="11"/>
  <c r="AW5" i="11"/>
  <c r="AU5" i="11"/>
  <c r="AT5" i="11"/>
  <c r="AQ5" i="11"/>
  <c r="AP5" i="11"/>
  <c r="AR5" i="11" s="1"/>
  <c r="AO5" i="11"/>
  <c r="AL5" i="11"/>
  <c r="AK5" i="11"/>
  <c r="AM5" i="11" s="1"/>
  <c r="AJ5" i="11"/>
  <c r="AX5" i="11" s="1"/>
  <c r="AF5" i="11"/>
  <c r="AH5" i="11" s="1"/>
  <c r="AD5" i="11"/>
  <c r="Z5" i="11"/>
  <c r="BG5" i="11" s="1"/>
  <c r="X5" i="11"/>
  <c r="V5" i="11"/>
  <c r="T5" i="11"/>
  <c r="R5" i="11"/>
  <c r="P5" i="11"/>
  <c r="BB5" i="11" s="1"/>
  <c r="N5" i="11"/>
  <c r="K5" i="11"/>
  <c r="AZ5" i="11" s="1"/>
  <c r="D5" i="11"/>
  <c r="BH4" i="11"/>
  <c r="BF4" i="11"/>
  <c r="BE4" i="11"/>
  <c r="BD4" i="11"/>
  <c r="BC4" i="11"/>
  <c r="BA4" i="11"/>
  <c r="AY4" i="11"/>
  <c r="AW4" i="11"/>
  <c r="AU4" i="11"/>
  <c r="AQ4" i="11"/>
  <c r="AR4" i="11" s="1"/>
  <c r="AP4" i="11"/>
  <c r="AO4" i="11"/>
  <c r="AM4" i="11"/>
  <c r="AX4" i="11" s="1"/>
  <c r="AL4" i="11"/>
  <c r="AK4" i="11"/>
  <c r="AJ4" i="11"/>
  <c r="AF4" i="11"/>
  <c r="AH4" i="11" s="1"/>
  <c r="AD4" i="11"/>
  <c r="Z4" i="11"/>
  <c r="BG4" i="11" s="1"/>
  <c r="X4" i="11"/>
  <c r="V4" i="11"/>
  <c r="T4" i="11"/>
  <c r="R4" i="11"/>
  <c r="P4" i="11"/>
  <c r="BB4" i="11" s="1"/>
  <c r="N4" i="11"/>
  <c r="K4" i="11"/>
  <c r="AT4" i="11" s="1"/>
  <c r="D4" i="11"/>
  <c r="BZ3" i="11"/>
  <c r="BH3" i="11"/>
  <c r="BF3" i="11"/>
  <c r="BE3" i="11"/>
  <c r="BD3" i="11"/>
  <c r="BC3" i="11"/>
  <c r="BB3" i="11"/>
  <c r="BA3" i="11"/>
  <c r="AY3" i="11"/>
  <c r="AW3" i="11"/>
  <c r="AU3" i="11"/>
  <c r="AQ3" i="11"/>
  <c r="AP3" i="11"/>
  <c r="AR3" i="11" s="1"/>
  <c r="AO3" i="11"/>
  <c r="AL3" i="11"/>
  <c r="AK3" i="11"/>
  <c r="AM3" i="11" s="1"/>
  <c r="AJ3" i="11"/>
  <c r="AX3" i="11" s="1"/>
  <c r="AF3" i="11"/>
  <c r="AH3" i="11" s="1"/>
  <c r="AD3" i="11"/>
  <c r="Z3" i="11"/>
  <c r="BG3" i="11" s="1"/>
  <c r="X3" i="11"/>
  <c r="V3" i="11"/>
  <c r="T3" i="11"/>
  <c r="R3" i="11"/>
  <c r="P3" i="11"/>
  <c r="N3" i="11"/>
  <c r="K3" i="11"/>
  <c r="AZ3" i="11" s="1"/>
  <c r="D3" i="11"/>
  <c r="AD2" i="11"/>
  <c r="AD12" i="11" s="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X9" i="11" l="1"/>
  <c r="AX12" i="11"/>
  <c r="BO17" i="11"/>
  <c r="BN17" i="11"/>
  <c r="BP17" i="11"/>
  <c r="AX6" i="11"/>
  <c r="AX15" i="11"/>
  <c r="AD13" i="11"/>
  <c r="AD15" i="11"/>
  <c r="AT16" i="11"/>
  <c r="BG17" i="11"/>
  <c r="AZ17" i="11"/>
  <c r="AT3" i="11"/>
  <c r="AZ4" i="11"/>
  <c r="AT9" i="11"/>
  <c r="AD10" i="11"/>
  <c r="AZ10" i="11"/>
  <c r="AT12" i="11"/>
  <c r="AD14" i="11"/>
  <c r="AZ14" i="11"/>
  <c r="AD11" i="11"/>
  <c r="AD16" i="11"/>
  <c r="AD18" i="11"/>
  <c r="AD6" i="11"/>
  <c r="BI6" i="11" l="1"/>
  <c r="BJ6" i="11" s="1"/>
  <c r="BL6" i="11" s="1"/>
  <c r="BM6" i="11" s="1"/>
  <c r="BI16" i="11"/>
  <c r="BJ16" i="11" s="1"/>
  <c r="BL16" i="11" s="1"/>
  <c r="BM16" i="11" s="1"/>
  <c r="BI11" i="11"/>
  <c r="BJ11" i="11" s="1"/>
  <c r="BL11" i="11" s="1"/>
  <c r="BM11" i="11" s="1"/>
  <c r="BI14" i="11"/>
  <c r="BJ14" i="11" s="1"/>
  <c r="BL14" i="11" s="1"/>
  <c r="BM14" i="11" s="1"/>
  <c r="BI8" i="11"/>
  <c r="BJ8" i="11" s="1"/>
  <c r="BL8" i="11" s="1"/>
  <c r="BM8" i="11" s="1"/>
  <c r="BI5" i="11"/>
  <c r="BJ5" i="11" s="1"/>
  <c r="BL5" i="11" s="1"/>
  <c r="BM5" i="11" s="1"/>
  <c r="BI4" i="11"/>
  <c r="BJ4" i="11" s="1"/>
  <c r="BL4" i="11" s="1"/>
  <c r="BM4" i="11" s="1"/>
  <c r="BI10" i="11"/>
  <c r="BJ10" i="11" s="1"/>
  <c r="BL10" i="11" s="1"/>
  <c r="BM10" i="11" s="1"/>
  <c r="BI17" i="11"/>
  <c r="BJ17" i="11" s="1"/>
  <c r="BI7" i="11"/>
  <c r="BJ7" i="11" s="1"/>
  <c r="BL7" i="11" s="1"/>
  <c r="BM7" i="11" s="1"/>
  <c r="BI15" i="11"/>
  <c r="BJ15" i="11" s="1"/>
  <c r="BL15" i="11" s="1"/>
  <c r="BM15" i="11" s="1"/>
  <c r="BI13" i="11"/>
  <c r="BJ13" i="11" s="1"/>
  <c r="BL13" i="11" s="1"/>
  <c r="BM13" i="11" s="1"/>
  <c r="BI12" i="11"/>
  <c r="BJ12" i="11" s="1"/>
  <c r="BL12" i="11" s="1"/>
  <c r="BM12" i="11" s="1"/>
  <c r="BI9" i="11"/>
  <c r="BJ9" i="11" s="1"/>
  <c r="BL9" i="11" s="1"/>
  <c r="BM9" i="11" s="1"/>
  <c r="BI3" i="11"/>
  <c r="BJ3" i="11" s="1"/>
  <c r="BL3" i="11" s="1"/>
  <c r="BO11" i="11" l="1"/>
  <c r="BP11" i="11"/>
  <c r="BN11" i="11"/>
  <c r="BU3" i="11"/>
  <c r="BU5" i="11" s="1"/>
  <c r="BU6" i="11"/>
  <c r="BM3" i="11"/>
  <c r="BU10" i="11"/>
  <c r="BU7" i="11"/>
  <c r="BL18" i="11"/>
  <c r="BU4" i="11" s="1"/>
  <c r="BU9" i="11" l="1"/>
  <c r="BU8" i="11"/>
  <c r="BU11" i="11"/>
  <c r="BU14" i="11"/>
  <c r="BM18" i="11"/>
  <c r="BU15" i="11" a="1"/>
  <c r="BU15" i="11" s="1"/>
  <c r="BU13" i="11" a="1"/>
  <c r="BU13" i="11" s="1"/>
  <c r="BU16" i="11" s="1"/>
  <c r="BO3" i="11" s="1"/>
  <c r="BN3" i="11" l="1"/>
  <c r="BP3" i="11"/>
  <c r="BN4" i="11"/>
  <c r="BN6" i="11"/>
  <c r="BN7" i="11"/>
  <c r="BN5" i="11"/>
  <c r="BN13" i="11"/>
  <c r="BN9" i="11"/>
  <c r="BN10" i="11"/>
  <c r="BN15" i="11"/>
  <c r="BN16" i="11"/>
  <c r="BN14" i="11"/>
  <c r="BN12" i="11"/>
  <c r="BN8" i="11"/>
  <c r="BZ6" i="11"/>
  <c r="BZ13" i="11" s="1"/>
  <c r="BU18" i="11"/>
  <c r="BZ7" i="11" s="1"/>
  <c r="BZ14" i="11" s="1"/>
  <c r="BU17" i="11"/>
  <c r="BZ8" i="11" s="1"/>
  <c r="BZ15" i="11" s="1"/>
  <c r="BU19" i="11"/>
  <c r="BU21" i="11" s="1"/>
  <c r="BO9" i="11"/>
  <c r="BO4" i="11"/>
  <c r="BO15" i="11"/>
  <c r="BO5" i="11"/>
  <c r="BO16" i="11"/>
  <c r="BO7" i="11"/>
  <c r="BO14" i="11"/>
  <c r="BO8" i="11"/>
  <c r="BO13" i="11"/>
  <c r="BO12" i="11"/>
  <c r="BO10" i="11"/>
  <c r="BO6" i="11"/>
  <c r="BU20" i="11" l="1"/>
  <c r="BZ9" i="11" s="1"/>
  <c r="BZ16" i="11" s="1"/>
  <c r="CB16" i="11" s="1"/>
  <c r="BP10" i="11"/>
  <c r="BP9" i="11"/>
  <c r="BP7" i="11"/>
  <c r="BP13" i="11"/>
  <c r="BP8" i="11"/>
  <c r="BP5" i="11"/>
  <c r="BZ10" i="11"/>
  <c r="BZ17" i="11" s="1"/>
  <c r="CB17" i="11" s="1"/>
  <c r="BP14" i="11"/>
  <c r="BP6" i="11"/>
  <c r="BP12" i="11"/>
  <c r="CB15" i="11"/>
  <c r="BP16" i="11"/>
  <c r="BP4" i="11"/>
  <c r="CB14" i="11"/>
  <c r="BP15" i="11"/>
  <c r="BU22" i="11" l="1"/>
  <c r="BU23" i="11" s="1"/>
  <c r="AD17" i="10"/>
  <c r="AD15" i="10"/>
  <c r="AD11" i="10"/>
  <c r="AD9" i="10"/>
  <c r="AD7" i="10"/>
  <c r="AD3" i="10"/>
  <c r="AD2" i="10"/>
  <c r="AD18" i="10" s="1"/>
  <c r="AD17" i="9"/>
  <c r="AD2" i="9"/>
  <c r="AD18" i="9" s="1"/>
  <c r="Z18" i="10"/>
  <c r="BG12" i="10" s="1"/>
  <c r="X18" i="10"/>
  <c r="V18" i="10"/>
  <c r="T18" i="10"/>
  <c r="R18" i="10"/>
  <c r="P18" i="10"/>
  <c r="BB14" i="10" s="1"/>
  <c r="N18" i="10"/>
  <c r="BA6" i="10" s="1"/>
  <c r="K18" i="10"/>
  <c r="AT18" i="10" s="1"/>
  <c r="AU18" i="10" s="1"/>
  <c r="D18" i="10"/>
  <c r="BH17" i="10"/>
  <c r="BF17" i="10"/>
  <c r="BE17" i="10"/>
  <c r="BD17" i="10"/>
  <c r="BC17" i="10"/>
  <c r="AW17" i="10"/>
  <c r="AQ17" i="10"/>
  <c r="AP17" i="10"/>
  <c r="AO17" i="10"/>
  <c r="AL17" i="10"/>
  <c r="AK17" i="10"/>
  <c r="AJ17" i="10"/>
  <c r="AX17" i="10" s="1"/>
  <c r="AH17" i="10"/>
  <c r="Z17" i="10"/>
  <c r="X17" i="10"/>
  <c r="V17" i="10"/>
  <c r="T17" i="10"/>
  <c r="R17" i="10"/>
  <c r="P17" i="10"/>
  <c r="N17" i="10"/>
  <c r="K17" i="10"/>
  <c r="D17" i="10"/>
  <c r="BH16" i="10"/>
  <c r="BF16" i="10"/>
  <c r="BE16" i="10"/>
  <c r="BD16" i="10"/>
  <c r="BC16" i="10"/>
  <c r="AW16" i="10"/>
  <c r="AQ16" i="10"/>
  <c r="AR16" i="10" s="1"/>
  <c r="AY16" i="10" s="1"/>
  <c r="AP16" i="10"/>
  <c r="AO16" i="10"/>
  <c r="AL16" i="10"/>
  <c r="AK16" i="10"/>
  <c r="AM16" i="10" s="1"/>
  <c r="AJ16" i="10"/>
  <c r="AF16" i="10"/>
  <c r="AH16" i="10" s="1"/>
  <c r="Z16" i="10"/>
  <c r="X16" i="10"/>
  <c r="V16" i="10"/>
  <c r="T16" i="10"/>
  <c r="R16" i="10"/>
  <c r="P16" i="10"/>
  <c r="BB16" i="10" s="1"/>
  <c r="N16" i="10"/>
  <c r="K16" i="10"/>
  <c r="D16" i="10"/>
  <c r="BH15" i="10"/>
  <c r="BF15" i="10"/>
  <c r="BE15" i="10"/>
  <c r="BD15" i="10"/>
  <c r="BC15" i="10"/>
  <c r="AW15" i="10"/>
  <c r="AU15" i="10"/>
  <c r="AQ15" i="10"/>
  <c r="AP15" i="10"/>
  <c r="AO15" i="10"/>
  <c r="AL15" i="10"/>
  <c r="AK15" i="10"/>
  <c r="AM15" i="10" s="1"/>
  <c r="AJ15" i="10"/>
  <c r="AF15" i="10"/>
  <c r="AH15" i="10" s="1"/>
  <c r="Z15" i="10"/>
  <c r="X15" i="10"/>
  <c r="V15" i="10"/>
  <c r="T15" i="10"/>
  <c r="R15" i="10"/>
  <c r="P15" i="10"/>
  <c r="N15" i="10"/>
  <c r="K15" i="10"/>
  <c r="AT15" i="10" s="1"/>
  <c r="D15" i="10"/>
  <c r="BH14" i="10"/>
  <c r="BF14" i="10"/>
  <c r="BE14" i="10"/>
  <c r="BD14" i="10"/>
  <c r="BC14" i="10"/>
  <c r="AW14" i="10"/>
  <c r="AQ14" i="10"/>
  <c r="AP14" i="10"/>
  <c r="AO14" i="10"/>
  <c r="AL14" i="10"/>
  <c r="AK14" i="10"/>
  <c r="AJ14" i="10"/>
  <c r="AF14" i="10"/>
  <c r="AH14" i="10" s="1"/>
  <c r="Z14" i="10"/>
  <c r="X14" i="10"/>
  <c r="V14" i="10"/>
  <c r="T14" i="10"/>
  <c r="R14" i="10"/>
  <c r="P14" i="10"/>
  <c r="N14" i="10"/>
  <c r="K14" i="10"/>
  <c r="AT14" i="10" s="1"/>
  <c r="AU14" i="10" s="1"/>
  <c r="D14" i="10"/>
  <c r="BH13" i="10"/>
  <c r="BF13" i="10"/>
  <c r="BE13" i="10"/>
  <c r="BD13" i="10"/>
  <c r="BC13" i="10"/>
  <c r="AW13" i="10"/>
  <c r="AU13" i="10"/>
  <c r="AQ13" i="10"/>
  <c r="AP13" i="10"/>
  <c r="AO13" i="10"/>
  <c r="AL13" i="10"/>
  <c r="AK13" i="10"/>
  <c r="AJ13" i="10"/>
  <c r="AF13" i="10"/>
  <c r="AH13" i="10" s="1"/>
  <c r="Z13" i="10"/>
  <c r="X13" i="10"/>
  <c r="V13" i="10"/>
  <c r="T13" i="10"/>
  <c r="R13" i="10"/>
  <c r="P13" i="10"/>
  <c r="N13" i="10"/>
  <c r="K13" i="10"/>
  <c r="AT13" i="10" s="1"/>
  <c r="D13" i="10"/>
  <c r="BH12" i="10"/>
  <c r="BF12" i="10"/>
  <c r="BE12" i="10"/>
  <c r="BD12" i="10"/>
  <c r="BC12" i="10"/>
  <c r="AW12" i="10"/>
  <c r="AQ12" i="10"/>
  <c r="AP12" i="10"/>
  <c r="AO12" i="10"/>
  <c r="AL12" i="10"/>
  <c r="AK12" i="10"/>
  <c r="AJ12" i="10"/>
  <c r="AF12" i="10"/>
  <c r="AH12" i="10" s="1"/>
  <c r="Z12" i="10"/>
  <c r="X12" i="10"/>
  <c r="V12" i="10"/>
  <c r="T12" i="10"/>
  <c r="R12" i="10"/>
  <c r="P12" i="10"/>
  <c r="BB12" i="10" s="1"/>
  <c r="N12" i="10"/>
  <c r="K12" i="10"/>
  <c r="D12" i="10"/>
  <c r="BH11" i="10"/>
  <c r="BF11" i="10"/>
  <c r="BE11" i="10"/>
  <c r="BD11" i="10"/>
  <c r="BC11" i="10"/>
  <c r="AW11" i="10"/>
  <c r="AQ11" i="10"/>
  <c r="AP11" i="10"/>
  <c r="AR11" i="10" s="1"/>
  <c r="AO11" i="10"/>
  <c r="AY11" i="10" s="1"/>
  <c r="AL11" i="10"/>
  <c r="AK11" i="10"/>
  <c r="AJ11" i="10"/>
  <c r="AF11" i="10"/>
  <c r="AH11" i="10" s="1"/>
  <c r="Z11" i="10"/>
  <c r="X11" i="10"/>
  <c r="V11" i="10"/>
  <c r="T11" i="10"/>
  <c r="R11" i="10"/>
  <c r="P11" i="10"/>
  <c r="BB11" i="10" s="1"/>
  <c r="N11" i="10"/>
  <c r="K11" i="10"/>
  <c r="D11" i="10"/>
  <c r="BH10" i="10"/>
  <c r="BF10" i="10"/>
  <c r="BE10" i="10"/>
  <c r="BD10" i="10"/>
  <c r="BC10" i="10"/>
  <c r="AW10" i="10"/>
  <c r="AQ10" i="10"/>
  <c r="AR10" i="10" s="1"/>
  <c r="AP10" i="10"/>
  <c r="AO10" i="10"/>
  <c r="AY10" i="10" s="1"/>
  <c r="AL10" i="10"/>
  <c r="AK10" i="10"/>
  <c r="AJ10" i="10"/>
  <c r="AF10" i="10"/>
  <c r="AH10" i="10" s="1"/>
  <c r="Z10" i="10"/>
  <c r="X10" i="10"/>
  <c r="V10" i="10"/>
  <c r="T10" i="10"/>
  <c r="R10" i="10"/>
  <c r="P10" i="10"/>
  <c r="BB10" i="10" s="1"/>
  <c r="N10" i="10"/>
  <c r="K10" i="10"/>
  <c r="D10" i="10"/>
  <c r="BH9" i="10"/>
  <c r="BF9" i="10"/>
  <c r="BE9" i="10"/>
  <c r="BD9" i="10"/>
  <c r="BC9" i="10"/>
  <c r="AW9" i="10"/>
  <c r="AQ9" i="10"/>
  <c r="AP9" i="10"/>
  <c r="AO9" i="10"/>
  <c r="AL9" i="10"/>
  <c r="AK9" i="10"/>
  <c r="AJ9" i="10"/>
  <c r="AF9" i="10"/>
  <c r="AH9" i="10" s="1"/>
  <c r="Z9" i="10"/>
  <c r="X9" i="10"/>
  <c r="V9" i="10"/>
  <c r="T9" i="10"/>
  <c r="R9" i="10"/>
  <c r="P9" i="10"/>
  <c r="BB9" i="10" s="1"/>
  <c r="N9" i="10"/>
  <c r="K9" i="10"/>
  <c r="D9" i="10"/>
  <c r="BH8" i="10"/>
  <c r="BF8" i="10"/>
  <c r="BE8" i="10"/>
  <c r="BD8" i="10"/>
  <c r="BC8" i="10"/>
  <c r="BA8" i="10"/>
  <c r="AW8" i="10"/>
  <c r="AU8" i="10"/>
  <c r="AQ8" i="10"/>
  <c r="AP8" i="10"/>
  <c r="AR8" i="10" s="1"/>
  <c r="AY8" i="10" s="1"/>
  <c r="AO8" i="10"/>
  <c r="AL8" i="10"/>
  <c r="AK8" i="10"/>
  <c r="AJ8" i="10"/>
  <c r="AF8" i="10"/>
  <c r="AH8" i="10" s="1"/>
  <c r="Z8" i="10"/>
  <c r="X8" i="10"/>
  <c r="V8" i="10"/>
  <c r="T8" i="10"/>
  <c r="R8" i="10"/>
  <c r="P8" i="10"/>
  <c r="BB8" i="10" s="1"/>
  <c r="N8" i="10"/>
  <c r="K8" i="10"/>
  <c r="AT8" i="10" s="1"/>
  <c r="D8" i="10"/>
  <c r="BH7" i="10"/>
  <c r="BF7" i="10"/>
  <c r="BE7" i="10"/>
  <c r="BD7" i="10"/>
  <c r="BC7" i="10"/>
  <c r="AW7" i="10"/>
  <c r="AQ7" i="10"/>
  <c r="AP7" i="10"/>
  <c r="AO7" i="10"/>
  <c r="AL7" i="10"/>
  <c r="AK7" i="10"/>
  <c r="AJ7" i="10"/>
  <c r="AF7" i="10"/>
  <c r="AH7" i="10" s="1"/>
  <c r="Z7" i="10"/>
  <c r="X7" i="10"/>
  <c r="V7" i="10"/>
  <c r="T7" i="10"/>
  <c r="R7" i="10"/>
  <c r="P7" i="10"/>
  <c r="BB7" i="10" s="1"/>
  <c r="N7" i="10"/>
  <c r="K7" i="10"/>
  <c r="D7" i="10"/>
  <c r="BH6" i="10"/>
  <c r="BF6" i="10"/>
  <c r="BE6" i="10"/>
  <c r="BD6" i="10"/>
  <c r="BC6" i="10"/>
  <c r="AW6" i="10"/>
  <c r="AQ6" i="10"/>
  <c r="AR6" i="10" s="1"/>
  <c r="AY6" i="10" s="1"/>
  <c r="AP6" i="10"/>
  <c r="AO6" i="10"/>
  <c r="AL6" i="10"/>
  <c r="AK6" i="10"/>
  <c r="AM6" i="10" s="1"/>
  <c r="AX6" i="10" s="1"/>
  <c r="AJ6" i="10"/>
  <c r="AF6" i="10"/>
  <c r="AH6" i="10" s="1"/>
  <c r="Z6" i="10"/>
  <c r="X6" i="10"/>
  <c r="V6" i="10"/>
  <c r="T6" i="10"/>
  <c r="R6" i="10"/>
  <c r="P6" i="10"/>
  <c r="BB6" i="10" s="1"/>
  <c r="N6" i="10"/>
  <c r="K6" i="10"/>
  <c r="D6" i="10"/>
  <c r="BH5" i="10"/>
  <c r="BF5" i="10"/>
  <c r="BE5" i="10"/>
  <c r="BD5" i="10"/>
  <c r="BC5" i="10"/>
  <c r="AW5" i="10"/>
  <c r="AQ5" i="10"/>
  <c r="AP5" i="10"/>
  <c r="AO5" i="10"/>
  <c r="AL5" i="10"/>
  <c r="AK5" i="10"/>
  <c r="AM5" i="10" s="1"/>
  <c r="AJ5" i="10"/>
  <c r="AF5" i="10"/>
  <c r="AH5" i="10" s="1"/>
  <c r="Z5" i="10"/>
  <c r="X5" i="10"/>
  <c r="V5" i="10"/>
  <c r="T5" i="10"/>
  <c r="R5" i="10"/>
  <c r="P5" i="10"/>
  <c r="BB5" i="10" s="1"/>
  <c r="N5" i="10"/>
  <c r="K5" i="10"/>
  <c r="AT5" i="10" s="1"/>
  <c r="AU5" i="10" s="1"/>
  <c r="D5" i="10"/>
  <c r="BH4" i="10"/>
  <c r="BF4" i="10"/>
  <c r="BE4" i="10"/>
  <c r="BD4" i="10"/>
  <c r="BC4" i="10"/>
  <c r="AW4" i="10"/>
  <c r="AQ4" i="10"/>
  <c r="AP4" i="10"/>
  <c r="AR4" i="10" s="1"/>
  <c r="AO4" i="10"/>
  <c r="AY4" i="10" s="1"/>
  <c r="AL4" i="10"/>
  <c r="AK4" i="10"/>
  <c r="AJ4" i="10"/>
  <c r="AF4" i="10"/>
  <c r="AH4" i="10" s="1"/>
  <c r="Z4" i="10"/>
  <c r="X4" i="10"/>
  <c r="V4" i="10"/>
  <c r="T4" i="10"/>
  <c r="R4" i="10"/>
  <c r="P4" i="10"/>
  <c r="BB4" i="10" s="1"/>
  <c r="N4" i="10"/>
  <c r="K4" i="10"/>
  <c r="D4" i="10"/>
  <c r="BZ3" i="10"/>
  <c r="BH3" i="10"/>
  <c r="BF3" i="10"/>
  <c r="BE3" i="10"/>
  <c r="BD3" i="10"/>
  <c r="BC3" i="10"/>
  <c r="BB3" i="10"/>
  <c r="AW3" i="10"/>
  <c r="AQ3" i="10"/>
  <c r="AR3" i="10" s="1"/>
  <c r="AP3" i="10"/>
  <c r="AO3" i="10"/>
  <c r="AY3" i="10" s="1"/>
  <c r="AL3" i="10"/>
  <c r="AK3" i="10"/>
  <c r="AJ3" i="10"/>
  <c r="AF3" i="10"/>
  <c r="AH3" i="10" s="1"/>
  <c r="Z3" i="10"/>
  <c r="X3" i="10"/>
  <c r="V3" i="10"/>
  <c r="T3" i="10"/>
  <c r="R3" i="10"/>
  <c r="P3" i="10"/>
  <c r="N3" i="10"/>
  <c r="K3" i="10"/>
  <c r="D3" i="10"/>
  <c r="BI1" i="10"/>
  <c r="BH1" i="10"/>
  <c r="BG1" i="10"/>
  <c r="BF1" i="10"/>
  <c r="BE1" i="10"/>
  <c r="BD1" i="10"/>
  <c r="BC1" i="10"/>
  <c r="BB1" i="10"/>
  <c r="BA1" i="10"/>
  <c r="AZ1" i="10"/>
  <c r="AY1" i="10"/>
  <c r="AX1" i="10"/>
  <c r="AW1" i="10"/>
  <c r="AM16" i="9"/>
  <c r="AL3" i="9"/>
  <c r="BZ3" i="9"/>
  <c r="AU18" i="9"/>
  <c r="Z18" i="9"/>
  <c r="X18" i="9"/>
  <c r="V18" i="9"/>
  <c r="T18" i="9"/>
  <c r="R18" i="9"/>
  <c r="BC15" i="9" s="1"/>
  <c r="P18" i="9"/>
  <c r="N18" i="9"/>
  <c r="K18" i="9"/>
  <c r="AT18" i="9" s="1"/>
  <c r="D18" i="9"/>
  <c r="BH17" i="9"/>
  <c r="BF17" i="9"/>
  <c r="BE17" i="9"/>
  <c r="BD17" i="9"/>
  <c r="BA17" i="9"/>
  <c r="AY17" i="9"/>
  <c r="AW17" i="9"/>
  <c r="AU17" i="9"/>
  <c r="AQ17" i="9"/>
  <c r="AP17" i="9"/>
  <c r="AR17" i="9" s="1"/>
  <c r="AO17" i="9"/>
  <c r="AL17" i="9"/>
  <c r="AK17" i="9"/>
  <c r="AJ17" i="9"/>
  <c r="AF17" i="9"/>
  <c r="AH17" i="9" s="1"/>
  <c r="Z17" i="9"/>
  <c r="X17" i="9"/>
  <c r="V17" i="9"/>
  <c r="T17" i="9"/>
  <c r="R17" i="9"/>
  <c r="BC17" i="9" s="1"/>
  <c r="P17" i="9"/>
  <c r="N17" i="9"/>
  <c r="K17" i="9"/>
  <c r="AZ17" i="9" s="1"/>
  <c r="D17" i="9"/>
  <c r="BH16" i="9"/>
  <c r="BF16" i="9"/>
  <c r="BE16" i="9"/>
  <c r="BD16" i="9"/>
  <c r="BA16" i="9"/>
  <c r="AY16" i="9"/>
  <c r="AW16" i="9"/>
  <c r="AU16" i="9"/>
  <c r="AQ16" i="9"/>
  <c r="AP16" i="9"/>
  <c r="AO16" i="9"/>
  <c r="AL16" i="9"/>
  <c r="AK16" i="9"/>
  <c r="AJ16" i="9"/>
  <c r="AF16" i="9"/>
  <c r="AH16" i="9" s="1"/>
  <c r="Z16" i="9"/>
  <c r="X16" i="9"/>
  <c r="V16" i="9"/>
  <c r="T16" i="9"/>
  <c r="R16" i="9"/>
  <c r="BC16" i="9" s="1"/>
  <c r="P16" i="9"/>
  <c r="N16" i="9"/>
  <c r="K16" i="9"/>
  <c r="AZ16" i="9" s="1"/>
  <c r="D16" i="9"/>
  <c r="BH15" i="9"/>
  <c r="BF15" i="9"/>
  <c r="BE15" i="9"/>
  <c r="BD15" i="9"/>
  <c r="BA15" i="9"/>
  <c r="AY15" i="9"/>
  <c r="AW15" i="9"/>
  <c r="AU15" i="9"/>
  <c r="AQ15" i="9"/>
  <c r="AP15" i="9"/>
  <c r="AO15" i="9"/>
  <c r="AL15" i="9"/>
  <c r="AK15" i="9"/>
  <c r="AJ15" i="9"/>
  <c r="AF15" i="9"/>
  <c r="AH15" i="9" s="1"/>
  <c r="Z15" i="9"/>
  <c r="X15" i="9"/>
  <c r="V15" i="9"/>
  <c r="T15" i="9"/>
  <c r="R15" i="9"/>
  <c r="P15" i="9"/>
  <c r="N15" i="9"/>
  <c r="K15" i="9"/>
  <c r="AZ15" i="9" s="1"/>
  <c r="D15" i="9"/>
  <c r="BH14" i="9"/>
  <c r="BF14" i="9"/>
  <c r="BE14" i="9"/>
  <c r="BD14" i="9"/>
  <c r="BA14" i="9"/>
  <c r="AY14" i="9"/>
  <c r="AW14" i="9"/>
  <c r="AU14" i="9"/>
  <c r="AQ14" i="9"/>
  <c r="AP14" i="9"/>
  <c r="AO14" i="9"/>
  <c r="AL14" i="9"/>
  <c r="AK14" i="9"/>
  <c r="AJ14" i="9"/>
  <c r="AF14" i="9"/>
  <c r="AH14" i="9" s="1"/>
  <c r="Z14" i="9"/>
  <c r="X14" i="9"/>
  <c r="V14" i="9"/>
  <c r="T14" i="9"/>
  <c r="R14" i="9"/>
  <c r="P14" i="9"/>
  <c r="BB14" i="9" s="1"/>
  <c r="N14" i="9"/>
  <c r="K14" i="9"/>
  <c r="AT14" i="9" s="1"/>
  <c r="D14" i="9"/>
  <c r="BH13" i="9"/>
  <c r="BF13" i="9"/>
  <c r="BE13" i="9"/>
  <c r="BD13" i="9"/>
  <c r="BA13" i="9"/>
  <c r="AY13" i="9"/>
  <c r="AW13" i="9"/>
  <c r="AU13" i="9"/>
  <c r="AQ13" i="9"/>
  <c r="AP13" i="9"/>
  <c r="AR13" i="9" s="1"/>
  <c r="AO13" i="9"/>
  <c r="AL13" i="9"/>
  <c r="AK13" i="9"/>
  <c r="AJ13" i="9"/>
  <c r="AF13" i="9"/>
  <c r="AH13" i="9" s="1"/>
  <c r="Z13" i="9"/>
  <c r="X13" i="9"/>
  <c r="V13" i="9"/>
  <c r="T13" i="9"/>
  <c r="R13" i="9"/>
  <c r="BC13" i="9" s="1"/>
  <c r="P13" i="9"/>
  <c r="N13" i="9"/>
  <c r="K13" i="9"/>
  <c r="AZ13" i="9" s="1"/>
  <c r="D13" i="9"/>
  <c r="BH12" i="9"/>
  <c r="BF12" i="9"/>
  <c r="BE12" i="9"/>
  <c r="BD12" i="9"/>
  <c r="BA12" i="9"/>
  <c r="AY12" i="9"/>
  <c r="AW12" i="9"/>
  <c r="AU12" i="9"/>
  <c r="AQ12" i="9"/>
  <c r="AP12" i="9"/>
  <c r="AO12" i="9"/>
  <c r="AL12" i="9"/>
  <c r="AK12" i="9"/>
  <c r="AJ12" i="9"/>
  <c r="AF12" i="9"/>
  <c r="AH12" i="9" s="1"/>
  <c r="Z12" i="9"/>
  <c r="X12" i="9"/>
  <c r="V12" i="9"/>
  <c r="T12" i="9"/>
  <c r="R12" i="9"/>
  <c r="BC12" i="9" s="1"/>
  <c r="P12" i="9"/>
  <c r="N12" i="9"/>
  <c r="K12" i="9"/>
  <c r="AZ12" i="9" s="1"/>
  <c r="D12" i="9"/>
  <c r="BH11" i="9"/>
  <c r="BF11" i="9"/>
  <c r="BE11" i="9"/>
  <c r="BD11" i="9"/>
  <c r="BA11" i="9"/>
  <c r="AY11" i="9"/>
  <c r="AW11" i="9"/>
  <c r="AU11" i="9"/>
  <c r="AQ11" i="9"/>
  <c r="AP11" i="9"/>
  <c r="AO11" i="9"/>
  <c r="AL11" i="9"/>
  <c r="AK11" i="9"/>
  <c r="AJ11" i="9"/>
  <c r="AF11" i="9"/>
  <c r="AH11" i="9" s="1"/>
  <c r="Z11" i="9"/>
  <c r="X11" i="9"/>
  <c r="V11" i="9"/>
  <c r="T11" i="9"/>
  <c r="R11" i="9"/>
  <c r="BC11" i="9" s="1"/>
  <c r="P11" i="9"/>
  <c r="N11" i="9"/>
  <c r="K11" i="9"/>
  <c r="AZ11" i="9" s="1"/>
  <c r="D11" i="9"/>
  <c r="BH10" i="9"/>
  <c r="BF10" i="9"/>
  <c r="BE10" i="9"/>
  <c r="BD10" i="9"/>
  <c r="BA10" i="9"/>
  <c r="AY10" i="9"/>
  <c r="AW10" i="9"/>
  <c r="AU10" i="9"/>
  <c r="AQ10" i="9"/>
  <c r="AP10" i="9"/>
  <c r="AO10" i="9"/>
  <c r="AL10" i="9"/>
  <c r="AK10" i="9"/>
  <c r="AJ10" i="9"/>
  <c r="AF10" i="9"/>
  <c r="AH10" i="9" s="1"/>
  <c r="Z10" i="9"/>
  <c r="X10" i="9"/>
  <c r="V10" i="9"/>
  <c r="T10" i="9"/>
  <c r="R10" i="9"/>
  <c r="BC10" i="9" s="1"/>
  <c r="P10" i="9"/>
  <c r="BB10" i="9" s="1"/>
  <c r="N10" i="9"/>
  <c r="K10" i="9"/>
  <c r="AZ10" i="9" s="1"/>
  <c r="D10" i="9"/>
  <c r="BH9" i="9"/>
  <c r="BF9" i="9"/>
  <c r="BE9" i="9"/>
  <c r="BD9" i="9"/>
  <c r="BA9" i="9"/>
  <c r="AY9" i="9"/>
  <c r="AW9" i="9"/>
  <c r="AU9" i="9"/>
  <c r="AQ9" i="9"/>
  <c r="AP9" i="9"/>
  <c r="AO9" i="9"/>
  <c r="AL9" i="9"/>
  <c r="AK9" i="9"/>
  <c r="AJ9" i="9"/>
  <c r="AF9" i="9"/>
  <c r="AH9" i="9" s="1"/>
  <c r="Z9" i="9"/>
  <c r="X9" i="9"/>
  <c r="V9" i="9"/>
  <c r="T9" i="9"/>
  <c r="R9" i="9"/>
  <c r="BC9" i="9" s="1"/>
  <c r="P9" i="9"/>
  <c r="N9" i="9"/>
  <c r="K9" i="9"/>
  <c r="AZ9" i="9" s="1"/>
  <c r="D9" i="9"/>
  <c r="BH8" i="9"/>
  <c r="BF8" i="9"/>
  <c r="BE8" i="9"/>
  <c r="BD8" i="9"/>
  <c r="BA8" i="9"/>
  <c r="AY8" i="9"/>
  <c r="AW8" i="9"/>
  <c r="AU8" i="9"/>
  <c r="AQ8" i="9"/>
  <c r="AP8" i="9"/>
  <c r="AO8" i="9"/>
  <c r="AL8" i="9"/>
  <c r="AK8" i="9"/>
  <c r="AJ8" i="9"/>
  <c r="AF8" i="9"/>
  <c r="AH8" i="9" s="1"/>
  <c r="Z8" i="9"/>
  <c r="X8" i="9"/>
  <c r="V8" i="9"/>
  <c r="T8" i="9"/>
  <c r="R8" i="9"/>
  <c r="BC8" i="9" s="1"/>
  <c r="P8" i="9"/>
  <c r="N8" i="9"/>
  <c r="K8" i="9"/>
  <c r="AZ8" i="9" s="1"/>
  <c r="D8" i="9"/>
  <c r="BH7" i="9"/>
  <c r="BF7" i="9"/>
  <c r="BE7" i="9"/>
  <c r="BD7" i="9"/>
  <c r="BA7" i="9"/>
  <c r="AY7" i="9"/>
  <c r="AW7" i="9"/>
  <c r="AU7" i="9"/>
  <c r="AQ7" i="9"/>
  <c r="AP7" i="9"/>
  <c r="AO7" i="9"/>
  <c r="AL7" i="9"/>
  <c r="AK7" i="9"/>
  <c r="AJ7" i="9"/>
  <c r="AF7" i="9"/>
  <c r="AH7" i="9" s="1"/>
  <c r="Z7" i="9"/>
  <c r="X7" i="9"/>
  <c r="V7" i="9"/>
  <c r="T7" i="9"/>
  <c r="R7" i="9"/>
  <c r="BC7" i="9" s="1"/>
  <c r="P7" i="9"/>
  <c r="N7" i="9"/>
  <c r="K7" i="9"/>
  <c r="AZ7" i="9" s="1"/>
  <c r="D7" i="9"/>
  <c r="BH6" i="9"/>
  <c r="BF6" i="9"/>
  <c r="BE6" i="9"/>
  <c r="BD6" i="9"/>
  <c r="BA6" i="9"/>
  <c r="AY6" i="9"/>
  <c r="AW6" i="9"/>
  <c r="AU6" i="9"/>
  <c r="AQ6" i="9"/>
  <c r="AP6" i="9"/>
  <c r="AO6" i="9"/>
  <c r="AL6" i="9"/>
  <c r="AK6" i="9"/>
  <c r="AJ6" i="9"/>
  <c r="AF6" i="9"/>
  <c r="AH6" i="9" s="1"/>
  <c r="Z6" i="9"/>
  <c r="X6" i="9"/>
  <c r="V6" i="9"/>
  <c r="T6" i="9"/>
  <c r="R6" i="9"/>
  <c r="BC6" i="9" s="1"/>
  <c r="P6" i="9"/>
  <c r="BB6" i="9" s="1"/>
  <c r="N6" i="9"/>
  <c r="K6" i="9"/>
  <c r="AZ6" i="9" s="1"/>
  <c r="D6" i="9"/>
  <c r="BH5" i="9"/>
  <c r="BF5" i="9"/>
  <c r="BE5" i="9"/>
  <c r="BD5" i="9"/>
  <c r="BA5" i="9"/>
  <c r="AY5" i="9"/>
  <c r="AW5" i="9"/>
  <c r="AU5" i="9"/>
  <c r="AQ5" i="9"/>
  <c r="AP5" i="9"/>
  <c r="AO5" i="9"/>
  <c r="AL5" i="9"/>
  <c r="AK5" i="9"/>
  <c r="AJ5" i="9"/>
  <c r="AF5" i="9"/>
  <c r="AH5" i="9" s="1"/>
  <c r="Z5" i="9"/>
  <c r="X5" i="9"/>
  <c r="V5" i="9"/>
  <c r="T5" i="9"/>
  <c r="R5" i="9"/>
  <c r="BC5" i="9" s="1"/>
  <c r="P5" i="9"/>
  <c r="N5" i="9"/>
  <c r="K5" i="9"/>
  <c r="AZ5" i="9" s="1"/>
  <c r="D5" i="9"/>
  <c r="BH4" i="9"/>
  <c r="BF4" i="9"/>
  <c r="BE4" i="9"/>
  <c r="BD4" i="9"/>
  <c r="BA4" i="9"/>
  <c r="AY4" i="9"/>
  <c r="AW4" i="9"/>
  <c r="AU4" i="9"/>
  <c r="AQ4" i="9"/>
  <c r="AP4" i="9"/>
  <c r="AO4" i="9"/>
  <c r="AL4" i="9"/>
  <c r="AK4" i="9"/>
  <c r="AJ4" i="9"/>
  <c r="AF4" i="9"/>
  <c r="AH4" i="9" s="1"/>
  <c r="Z4" i="9"/>
  <c r="X4" i="9"/>
  <c r="V4" i="9"/>
  <c r="T4" i="9"/>
  <c r="R4" i="9"/>
  <c r="BC4" i="9" s="1"/>
  <c r="P4" i="9"/>
  <c r="N4" i="9"/>
  <c r="K4" i="9"/>
  <c r="AZ4" i="9" s="1"/>
  <c r="D4" i="9"/>
  <c r="BH3" i="9"/>
  <c r="BF3" i="9"/>
  <c r="BE3" i="9"/>
  <c r="BD3" i="9"/>
  <c r="BA3" i="9"/>
  <c r="AY3" i="9"/>
  <c r="AW3" i="9"/>
  <c r="AU3" i="9"/>
  <c r="AQ3" i="9"/>
  <c r="AP3" i="9"/>
  <c r="AO3" i="9"/>
  <c r="AK3" i="9"/>
  <c r="AJ3" i="9"/>
  <c r="AF3" i="9"/>
  <c r="AH3" i="9" s="1"/>
  <c r="Z3" i="9"/>
  <c r="X3" i="9"/>
  <c r="V3" i="9"/>
  <c r="T3" i="9"/>
  <c r="R3" i="9"/>
  <c r="BC3" i="9" s="1"/>
  <c r="P3" i="9"/>
  <c r="BB3" i="9" s="1"/>
  <c r="N3" i="9"/>
  <c r="K3" i="9"/>
  <c r="AZ3" i="9" s="1"/>
  <c r="D3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BC14" i="9" l="1"/>
  <c r="AM8" i="10"/>
  <c r="AM7" i="10"/>
  <c r="AZ3" i="10"/>
  <c r="AZ10" i="10"/>
  <c r="AZ17" i="10"/>
  <c r="AY5" i="10"/>
  <c r="AY17" i="10"/>
  <c r="AY15" i="10"/>
  <c r="AT10" i="10"/>
  <c r="AU10" i="10" s="1"/>
  <c r="AR5" i="10"/>
  <c r="AR12" i="10"/>
  <c r="AY12" i="10" s="1"/>
  <c r="AR13" i="10"/>
  <c r="AY13" i="10" s="1"/>
  <c r="AR14" i="10"/>
  <c r="AY14" i="10" s="1"/>
  <c r="AR15" i="10"/>
  <c r="AT11" i="10"/>
  <c r="AU11" i="10" s="1"/>
  <c r="AZ11" i="10" s="1"/>
  <c r="AR7" i="10"/>
  <c r="AY7" i="10" s="1"/>
  <c r="AR17" i="10"/>
  <c r="AT4" i="10"/>
  <c r="AU4" i="10" s="1"/>
  <c r="AZ4" i="10" s="1"/>
  <c r="AT6" i="10"/>
  <c r="AU6" i="10" s="1"/>
  <c r="AZ6" i="10" s="1"/>
  <c r="AT16" i="10"/>
  <c r="AU16" i="10" s="1"/>
  <c r="AZ16" i="10" s="1"/>
  <c r="AT7" i="10"/>
  <c r="AU7" i="10" s="1"/>
  <c r="AZ7" i="10" s="1"/>
  <c r="AR9" i="10"/>
  <c r="AY9" i="10" s="1"/>
  <c r="AT17" i="10"/>
  <c r="AU17" i="10" s="1"/>
  <c r="BA16" i="10"/>
  <c r="BA7" i="10"/>
  <c r="BA11" i="10"/>
  <c r="BA4" i="10"/>
  <c r="BA9" i="10"/>
  <c r="BA13" i="10"/>
  <c r="BA5" i="10"/>
  <c r="BA14" i="10"/>
  <c r="BA15" i="10"/>
  <c r="BA17" i="10"/>
  <c r="BA3" i="10"/>
  <c r="BA10" i="10"/>
  <c r="BA12" i="10"/>
  <c r="AD9" i="9"/>
  <c r="BI9" i="9" s="1"/>
  <c r="AD3" i="9"/>
  <c r="BI3" i="9" s="1"/>
  <c r="AD10" i="9"/>
  <c r="BI10" i="9" s="1"/>
  <c r="AD4" i="10"/>
  <c r="AD12" i="10"/>
  <c r="BI12" i="10" s="1"/>
  <c r="AD5" i="10"/>
  <c r="BI5" i="10" s="1"/>
  <c r="AD13" i="10"/>
  <c r="BI13" i="10" s="1"/>
  <c r="AD6" i="10"/>
  <c r="BI6" i="10" s="1"/>
  <c r="AD14" i="10"/>
  <c r="BI14" i="10" s="1"/>
  <c r="AD8" i="10"/>
  <c r="BI8" i="10" s="1"/>
  <c r="AD16" i="10"/>
  <c r="BI16" i="10" s="1"/>
  <c r="AD10" i="10"/>
  <c r="BI10" i="10" s="1"/>
  <c r="AD16" i="9"/>
  <c r="BI16" i="9" s="1"/>
  <c r="AD8" i="9"/>
  <c r="AD15" i="9"/>
  <c r="BI15" i="9" s="1"/>
  <c r="AD7" i="9"/>
  <c r="BI7" i="9" s="1"/>
  <c r="AD14" i="9"/>
  <c r="BI14" i="9" s="1"/>
  <c r="AD6" i="9"/>
  <c r="BI6" i="9" s="1"/>
  <c r="AD13" i="9"/>
  <c r="BI13" i="9" s="1"/>
  <c r="AD5" i="9"/>
  <c r="BI5" i="9" s="1"/>
  <c r="AD12" i="9"/>
  <c r="BI12" i="9" s="1"/>
  <c r="AD4" i="9"/>
  <c r="BI4" i="9" s="1"/>
  <c r="AD11" i="9"/>
  <c r="BI11" i="9" s="1"/>
  <c r="AM4" i="10"/>
  <c r="AX4" i="10" s="1"/>
  <c r="AM14" i="10"/>
  <c r="AM17" i="10"/>
  <c r="AX5" i="10"/>
  <c r="AM10" i="10"/>
  <c r="AX10" i="10" s="1"/>
  <c r="AX8" i="10"/>
  <c r="AM13" i="10"/>
  <c r="AX13" i="10" s="1"/>
  <c r="BI11" i="10"/>
  <c r="BI3" i="10"/>
  <c r="BI7" i="10"/>
  <c r="BI9" i="10"/>
  <c r="BI4" i="10"/>
  <c r="BI15" i="10"/>
  <c r="BG3" i="10"/>
  <c r="BG9" i="10"/>
  <c r="BG16" i="10"/>
  <c r="BG13" i="10"/>
  <c r="BG5" i="10"/>
  <c r="BG7" i="10"/>
  <c r="BG10" i="10"/>
  <c r="BG4" i="10"/>
  <c r="BG6" i="10"/>
  <c r="BG17" i="10"/>
  <c r="BG11" i="10"/>
  <c r="BG15" i="10"/>
  <c r="BG8" i="10"/>
  <c r="AM12" i="10"/>
  <c r="AX12" i="10" s="1"/>
  <c r="AX7" i="10"/>
  <c r="AM9" i="10"/>
  <c r="AX9" i="10" s="1"/>
  <c r="AX16" i="10"/>
  <c r="AM3" i="10"/>
  <c r="AX3" i="10" s="1"/>
  <c r="AM11" i="10"/>
  <c r="AX11" i="10" s="1"/>
  <c r="AX14" i="10"/>
  <c r="AX15" i="10"/>
  <c r="AT3" i="10"/>
  <c r="AU3" i="10" s="1"/>
  <c r="AT9" i="10"/>
  <c r="AU9" i="10" s="1"/>
  <c r="AZ9" i="10" s="1"/>
  <c r="AT12" i="10"/>
  <c r="AU12" i="10" s="1"/>
  <c r="AZ12" i="10" s="1"/>
  <c r="BB13" i="10"/>
  <c r="BB15" i="10"/>
  <c r="BI17" i="10"/>
  <c r="AZ13" i="10"/>
  <c r="AZ15" i="10"/>
  <c r="BG14" i="10"/>
  <c r="BB17" i="10"/>
  <c r="AZ5" i="10"/>
  <c r="AZ14" i="10"/>
  <c r="AZ8" i="10"/>
  <c r="BB7" i="9"/>
  <c r="BB11" i="9"/>
  <c r="BB15" i="9"/>
  <c r="BB4" i="9"/>
  <c r="BB8" i="9"/>
  <c r="BB12" i="9"/>
  <c r="BB5" i="9"/>
  <c r="BB9" i="9"/>
  <c r="BB13" i="9"/>
  <c r="BB16" i="9"/>
  <c r="BB17" i="9"/>
  <c r="AM17" i="9"/>
  <c r="AX17" i="9" s="1"/>
  <c r="AR16" i="9"/>
  <c r="BG6" i="9"/>
  <c r="BG4" i="9"/>
  <c r="BG8" i="9"/>
  <c r="BG12" i="9"/>
  <c r="BG3" i="9"/>
  <c r="BG10" i="9"/>
  <c r="BG11" i="9"/>
  <c r="BG5" i="9"/>
  <c r="BG9" i="9"/>
  <c r="BG13" i="9"/>
  <c r="AR11" i="9"/>
  <c r="BI17" i="9"/>
  <c r="BG15" i="9"/>
  <c r="BG7" i="9"/>
  <c r="AR3" i="9"/>
  <c r="AR9" i="9"/>
  <c r="AM14" i="9"/>
  <c r="AX14" i="9" s="1"/>
  <c r="BG16" i="9"/>
  <c r="AT9" i="9"/>
  <c r="AM11" i="9"/>
  <c r="AX11" i="9" s="1"/>
  <c r="AM8" i="9"/>
  <c r="AX8" i="9" s="1"/>
  <c r="AR10" i="9"/>
  <c r="AM12" i="9"/>
  <c r="AX12" i="9" s="1"/>
  <c r="AM6" i="9"/>
  <c r="AX6" i="9" s="1"/>
  <c r="AR4" i="9"/>
  <c r="AR5" i="9"/>
  <c r="AR8" i="9"/>
  <c r="AM9" i="9"/>
  <c r="AX9" i="9" s="1"/>
  <c r="AT5" i="9"/>
  <c r="BI8" i="9"/>
  <c r="AX16" i="9"/>
  <c r="AM7" i="9"/>
  <c r="AX7" i="9" s="1"/>
  <c r="AM5" i="9"/>
  <c r="AX5" i="9" s="1"/>
  <c r="AR6" i="9"/>
  <c r="AR12" i="9"/>
  <c r="AM13" i="9"/>
  <c r="AX13" i="9" s="1"/>
  <c r="AT8" i="9"/>
  <c r="AM15" i="9"/>
  <c r="AX15" i="9" s="1"/>
  <c r="AM4" i="9"/>
  <c r="AX4" i="9" s="1"/>
  <c r="AR7" i="9"/>
  <c r="AR14" i="9"/>
  <c r="BG17" i="9"/>
  <c r="AT7" i="9"/>
  <c r="AT15" i="9"/>
  <c r="AT16" i="9"/>
  <c r="AM3" i="9"/>
  <c r="AX3" i="9" s="1"/>
  <c r="AM10" i="9"/>
  <c r="AX10" i="9" s="1"/>
  <c r="AT11" i="9"/>
  <c r="AR15" i="9"/>
  <c r="AT3" i="9"/>
  <c r="AT10" i="9"/>
  <c r="BG14" i="9"/>
  <c r="AT17" i="9"/>
  <c r="AZ14" i="9"/>
  <c r="AT4" i="9"/>
  <c r="AT12" i="9"/>
  <c r="AT13" i="9"/>
  <c r="AT6" i="9"/>
  <c r="BJ6" i="10" l="1"/>
  <c r="BL6" i="10" s="1"/>
  <c r="BM6" i="10" s="1"/>
  <c r="BJ15" i="10"/>
  <c r="BL15" i="10" s="1"/>
  <c r="BM15" i="10" s="1"/>
  <c r="BJ4" i="10"/>
  <c r="BL4" i="10" s="1"/>
  <c r="BM4" i="10" s="1"/>
  <c r="BJ10" i="10"/>
  <c r="BL10" i="10" s="1"/>
  <c r="BM10" i="10" s="1"/>
  <c r="BJ12" i="10"/>
  <c r="BL12" i="10" s="1"/>
  <c r="BM12" i="10" s="1"/>
  <c r="BJ3" i="10"/>
  <c r="BL3" i="10" s="1"/>
  <c r="BM3" i="10" s="1"/>
  <c r="BJ8" i="10"/>
  <c r="BL8" i="10" s="1"/>
  <c r="BM8" i="10" s="1"/>
  <c r="BJ13" i="10"/>
  <c r="BL13" i="10" s="1"/>
  <c r="BM13" i="10" s="1"/>
  <c r="BJ9" i="10"/>
  <c r="BL9" i="10" s="1"/>
  <c r="BM9" i="10" s="1"/>
  <c r="BJ7" i="10"/>
  <c r="BL7" i="10" s="1"/>
  <c r="BM7" i="10" s="1"/>
  <c r="BJ5" i="10"/>
  <c r="BL5" i="10" s="1"/>
  <c r="BM5" i="10" s="1"/>
  <c r="BJ16" i="10"/>
  <c r="BL16" i="10" s="1"/>
  <c r="BM16" i="10" s="1"/>
  <c r="BJ11" i="10"/>
  <c r="BL11" i="10" s="1"/>
  <c r="BM11" i="10" s="1"/>
  <c r="BJ14" i="10"/>
  <c r="BL14" i="10" s="1"/>
  <c r="BM14" i="10" s="1"/>
  <c r="BJ17" i="10"/>
  <c r="BL17" i="10" s="1"/>
  <c r="BM17" i="10" s="1"/>
  <c r="BJ3" i="9"/>
  <c r="BL3" i="9" s="1"/>
  <c r="BM3" i="9" s="1"/>
  <c r="BJ16" i="9"/>
  <c r="BL16" i="9" s="1"/>
  <c r="BM16" i="9" s="1"/>
  <c r="BJ15" i="9"/>
  <c r="BL15" i="9" s="1"/>
  <c r="BM15" i="9" s="1"/>
  <c r="BJ6" i="9"/>
  <c r="BL6" i="9" s="1"/>
  <c r="BM6" i="9" s="1"/>
  <c r="BJ12" i="9"/>
  <c r="BL12" i="9" s="1"/>
  <c r="BM12" i="9" s="1"/>
  <c r="BJ8" i="9"/>
  <c r="BL8" i="9" s="1"/>
  <c r="BM8" i="9" s="1"/>
  <c r="BJ13" i="9"/>
  <c r="BL13" i="9" s="1"/>
  <c r="BM13" i="9" s="1"/>
  <c r="BJ4" i="9"/>
  <c r="BL4" i="9" s="1"/>
  <c r="BM4" i="9" s="1"/>
  <c r="BJ17" i="9"/>
  <c r="BL17" i="9" s="1"/>
  <c r="BM17" i="9" s="1"/>
  <c r="BJ9" i="9"/>
  <c r="BL9" i="9" s="1"/>
  <c r="BM9" i="9" s="1"/>
  <c r="BJ10" i="9"/>
  <c r="BL10" i="9" s="1"/>
  <c r="BM10" i="9" s="1"/>
  <c r="BJ11" i="9"/>
  <c r="BL11" i="9" s="1"/>
  <c r="BM11" i="9" s="1"/>
  <c r="BJ7" i="9"/>
  <c r="BL7" i="9" s="1"/>
  <c r="BM7" i="9" s="1"/>
  <c r="BJ5" i="9"/>
  <c r="BL5" i="9" s="1"/>
  <c r="BM5" i="9" s="1"/>
  <c r="BJ14" i="9"/>
  <c r="BL14" i="9" s="1"/>
  <c r="BM14" i="9" s="1"/>
  <c r="BL18" i="10" l="1"/>
  <c r="BU4" i="10" s="1"/>
  <c r="BU7" i="10"/>
  <c r="BU10" i="10"/>
  <c r="BU14" i="9"/>
  <c r="BU3" i="10" l="1"/>
  <c r="BU5" i="10" s="1"/>
  <c r="BU6" i="10"/>
  <c r="BU15" i="10" a="1"/>
  <c r="BU15" i="10" s="1"/>
  <c r="BN12" i="10" s="1"/>
  <c r="BM18" i="10"/>
  <c r="BU14" i="10"/>
  <c r="BU18" i="10" s="1"/>
  <c r="BZ7" i="10" s="1"/>
  <c r="BZ14" i="10" s="1"/>
  <c r="BU13" i="10" a="1"/>
  <c r="BU13" i="10" s="1"/>
  <c r="BU16" i="10" s="1"/>
  <c r="BO17" i="10" s="1"/>
  <c r="BU11" i="10"/>
  <c r="BU9" i="10"/>
  <c r="BU8" i="10"/>
  <c r="BU10" i="9"/>
  <c r="BU15" i="9" a="1"/>
  <c r="BU15" i="9" s="1"/>
  <c r="BU13" i="9" a="1"/>
  <c r="BU13" i="9" s="1"/>
  <c r="BU6" i="9"/>
  <c r="BU7" i="9"/>
  <c r="BM18" i="9"/>
  <c r="BL18" i="9"/>
  <c r="BU4" i="9" s="1"/>
  <c r="BU3" i="9"/>
  <c r="BU5" i="9" s="1"/>
  <c r="BN17" i="10" l="1"/>
  <c r="BN15" i="10"/>
  <c r="BN3" i="10"/>
  <c r="BN11" i="10"/>
  <c r="BN14" i="10"/>
  <c r="BN16" i="10"/>
  <c r="BN8" i="10"/>
  <c r="BN5" i="10"/>
  <c r="BN6" i="10"/>
  <c r="BN7" i="10"/>
  <c r="BO6" i="10"/>
  <c r="BO13" i="10"/>
  <c r="BN4" i="10"/>
  <c r="BN13" i="10"/>
  <c r="BO12" i="10"/>
  <c r="BP12" i="10" s="1"/>
  <c r="BU19" i="10"/>
  <c r="BU21" i="10" s="1"/>
  <c r="BZ10" i="10" s="1"/>
  <c r="BZ17" i="10" s="1"/>
  <c r="CB17" i="10" s="1"/>
  <c r="BU17" i="10"/>
  <c r="BZ8" i="10" s="1"/>
  <c r="BZ15" i="10" s="1"/>
  <c r="BN9" i="10"/>
  <c r="BZ6" i="10"/>
  <c r="BZ13" i="10" s="1"/>
  <c r="BN10" i="10"/>
  <c r="BO10" i="10"/>
  <c r="BO3" i="10"/>
  <c r="BP3" i="10" s="1"/>
  <c r="BO9" i="10"/>
  <c r="BO15" i="10"/>
  <c r="BO5" i="10"/>
  <c r="BO7" i="10"/>
  <c r="BO14" i="10"/>
  <c r="BO4" i="10"/>
  <c r="BO11" i="10"/>
  <c r="BP11" i="10" s="1"/>
  <c r="BO8" i="10"/>
  <c r="BO16" i="10"/>
  <c r="BP16" i="10" s="1"/>
  <c r="CB14" i="10"/>
  <c r="BP17" i="10"/>
  <c r="BN13" i="9"/>
  <c r="BN5" i="9"/>
  <c r="BN3" i="9"/>
  <c r="BN12" i="9"/>
  <c r="BN6" i="9"/>
  <c r="BN14" i="9"/>
  <c r="BN11" i="9"/>
  <c r="BN7" i="9"/>
  <c r="BN15" i="9"/>
  <c r="BN8" i="9"/>
  <c r="BN16" i="9"/>
  <c r="BN9" i="9"/>
  <c r="BN17" i="9"/>
  <c r="BN10" i="9"/>
  <c r="BN4" i="9"/>
  <c r="BU11" i="9"/>
  <c r="BU9" i="9"/>
  <c r="BU8" i="9"/>
  <c r="BU16" i="9"/>
  <c r="BP5" i="10" l="1"/>
  <c r="CB15" i="10"/>
  <c r="BP6" i="10"/>
  <c r="BP15" i="10"/>
  <c r="BP4" i="10"/>
  <c r="BP14" i="10"/>
  <c r="BP13" i="10"/>
  <c r="BP8" i="10"/>
  <c r="BP9" i="10"/>
  <c r="BU20" i="10"/>
  <c r="BZ9" i="10" s="1"/>
  <c r="BZ16" i="10" s="1"/>
  <c r="CB16" i="10" s="1"/>
  <c r="BP7" i="10"/>
  <c r="BP10" i="10"/>
  <c r="BU19" i="9"/>
  <c r="BU20" i="9" s="1"/>
  <c r="BZ9" i="9" s="1"/>
  <c r="BZ16" i="9" s="1"/>
  <c r="BO4" i="9"/>
  <c r="BP4" i="9" s="1"/>
  <c r="BO16" i="9"/>
  <c r="BP16" i="9" s="1"/>
  <c r="BO11" i="9"/>
  <c r="BP11" i="9" s="1"/>
  <c r="BO10" i="9"/>
  <c r="BP10" i="9" s="1"/>
  <c r="BO8" i="9"/>
  <c r="BP8" i="9" s="1"/>
  <c r="BO3" i="9"/>
  <c r="BP3" i="9" s="1"/>
  <c r="BO15" i="9"/>
  <c r="BP15" i="9" s="1"/>
  <c r="BO9" i="9"/>
  <c r="BP9" i="9" s="1"/>
  <c r="BO7" i="9"/>
  <c r="BP7" i="9" s="1"/>
  <c r="BO12" i="9"/>
  <c r="BP12" i="9" s="1"/>
  <c r="BO6" i="9"/>
  <c r="BP6" i="9" s="1"/>
  <c r="BO17" i="9"/>
  <c r="BP17" i="9" s="1"/>
  <c r="BO13" i="9"/>
  <c r="BP13" i="9" s="1"/>
  <c r="BO5" i="9"/>
  <c r="BP5" i="9" s="1"/>
  <c r="BO14" i="9"/>
  <c r="BP14" i="9" s="1"/>
  <c r="BU17" i="9"/>
  <c r="BZ8" i="9" s="1"/>
  <c r="BZ15" i="9" s="1"/>
  <c r="BZ6" i="9"/>
  <c r="BZ13" i="9" s="1"/>
  <c r="BU18" i="9"/>
  <c r="BZ7" i="9" s="1"/>
  <c r="BZ14" i="9" s="1"/>
  <c r="BU22" i="10" l="1"/>
  <c r="BU23" i="10" s="1"/>
  <c r="BU21" i="9"/>
  <c r="BZ10" i="9" s="1"/>
  <c r="BZ17" i="9" s="1"/>
  <c r="CB17" i="9" s="1"/>
  <c r="CB14" i="9"/>
  <c r="CB16" i="9"/>
  <c r="CB15" i="9"/>
  <c r="Q3" i="4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BU22" i="9" l="1"/>
  <c r="BU23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Schuch Bertoglio</author>
  </authors>
  <commentList>
    <comment ref="AH1" authorId="0" shapeId="0" xr:uid="{5CD80F9E-C5DE-4D08-9E1C-95926249D723}">
      <text>
        <r>
          <rPr>
            <sz val="12"/>
            <color indexed="81"/>
            <rFont val="Calibri"/>
            <family val="2"/>
            <scheme val="minor"/>
          </rPr>
          <t>Para o cálculo do VUNIT, escolher entre a área do Terreno e a àrea construída.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2" authorId="0" shapeId="0" xr:uid="{C3B3248E-7B3A-4118-8FC4-2AF039E70EFF}">
      <text>
        <r>
          <rPr>
            <sz val="12"/>
            <color indexed="81"/>
            <rFont val="Calibri"/>
            <family val="2"/>
            <scheme val="minor"/>
          </rPr>
          <t>Variável local.
Entre 0,5 e 2,0
Conforme sugere a Norma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2" authorId="0" shapeId="0" xr:uid="{09035BDE-69CD-401C-B39E-23886EE8A734}">
      <text>
        <r>
          <rPr>
            <sz val="12"/>
            <color indexed="81"/>
            <rFont val="Calibri"/>
            <family val="2"/>
            <scheme val="minor"/>
          </rPr>
          <t>Área Construída
em m²</t>
        </r>
        <r>
          <rPr>
            <b/>
            <sz val="12"/>
            <color indexed="81"/>
            <rFont val="Calibri"/>
            <family val="2"/>
            <scheme val="minor"/>
          </rPr>
          <t xml:space="preserve">
</t>
        </r>
      </text>
    </comment>
    <comment ref="G2" authorId="0" shapeId="0" xr:uid="{1F8164D5-BEF6-4C32-94A6-C0CEFD52AF1C}">
      <text>
        <r>
          <rPr>
            <sz val="12"/>
            <color indexed="81"/>
            <rFont val="Calibri"/>
            <family val="2"/>
            <scheme val="minor"/>
          </rPr>
          <t xml:space="preserve">Área Territorial
em m²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2" authorId="0" shapeId="0" xr:uid="{26AD0AD9-BE36-4370-B516-255F95522343}">
      <text>
        <r>
          <rPr>
            <sz val="12"/>
            <color indexed="81"/>
            <rFont val="Calibri"/>
            <family val="2"/>
            <scheme val="minor"/>
          </rPr>
          <t>Testada em 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" authorId="0" shapeId="0" xr:uid="{B2C569C0-1876-46B6-9BAC-EFC0B978BB0F}">
      <text>
        <r>
          <rPr>
            <sz val="12"/>
            <color indexed="81"/>
            <rFont val="Calibri"/>
            <family val="2"/>
            <scheme val="minor"/>
          </rPr>
          <t>Profundidade equivalente.
Campo não deve ser preencido.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2" authorId="0" shapeId="0" xr:uid="{AD57903D-63D4-4FF7-9279-006010C7DD47}">
      <text>
        <r>
          <rPr>
            <sz val="12"/>
            <color indexed="81"/>
            <rFont val="Calibri"/>
            <family val="2"/>
            <scheme val="minor"/>
          </rPr>
          <t>Topografia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2" authorId="0" shapeId="0" xr:uid="{BA1170A9-A6BF-4F9B-AA0D-516938520EDB}">
      <text>
        <r>
          <rPr>
            <sz val="12"/>
            <color indexed="81"/>
            <rFont val="Calibri"/>
            <family val="2"/>
            <scheme val="minor"/>
          </rPr>
          <t>Relevo</t>
        </r>
        <r>
          <rPr>
            <b/>
            <sz val="12"/>
            <color indexed="81"/>
            <rFont val="Calibri"/>
            <family val="2"/>
            <scheme val="minor"/>
          </rPr>
          <t xml:space="preserve">
</t>
        </r>
      </text>
    </comment>
    <comment ref="Q2" authorId="0" shapeId="0" xr:uid="{4E79472C-556B-49CE-9DCF-133A917995F7}">
      <text>
        <r>
          <rPr>
            <sz val="12"/>
            <color indexed="81"/>
            <rFont val="Calibri"/>
            <family val="2"/>
            <scheme val="minor"/>
          </rPr>
          <t>Superfície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S2" authorId="0" shapeId="0" xr:uid="{70C34563-9B50-48AB-855A-2158460962E8}">
      <text>
        <r>
          <rPr>
            <sz val="12"/>
            <color indexed="81"/>
            <rFont val="Calibri"/>
            <family val="2"/>
            <scheme val="minor"/>
          </rPr>
          <t>Aproveitamento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U2" authorId="0" shapeId="0" xr:uid="{18859C79-F4E2-40AD-A457-46F3115DF867}">
      <text>
        <r>
          <rPr>
            <b/>
            <sz val="9"/>
            <color indexed="81"/>
            <rFont val="Segoe UI"/>
            <family val="2"/>
          </rPr>
          <t>Acessibilidade</t>
        </r>
      </text>
    </comment>
    <comment ref="W2" authorId="0" shapeId="0" xr:uid="{72510675-F921-4243-AFFE-8CBB5EF03A85}">
      <text>
        <r>
          <rPr>
            <sz val="12"/>
            <color indexed="81"/>
            <rFont val="Calibri"/>
            <family val="2"/>
            <scheme val="minor"/>
          </rPr>
          <t xml:space="preserve">Idade aparente e conservação
</t>
        </r>
      </text>
    </comment>
    <comment ref="Y2" authorId="0" shapeId="0" xr:uid="{A5DCFFF9-DD5C-436D-AEE5-9A3C30995C91}">
      <text>
        <r>
          <rPr>
            <sz val="12"/>
            <color indexed="81"/>
            <rFont val="Calibri"/>
            <family val="2"/>
            <scheme val="minor"/>
          </rPr>
          <t>Padrão construtivo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A2" authorId="0" shapeId="0" xr:uid="{CD74CD77-634B-405E-A44F-15C84399F2DE}">
      <text>
        <r>
          <rPr>
            <sz val="12"/>
            <color indexed="81"/>
            <rFont val="Calibri"/>
            <family val="2"/>
            <scheme val="minor"/>
          </rPr>
          <t>Número de vagas de estacionamento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C2" authorId="0" shapeId="0" xr:uid="{7A99E65F-9033-4638-893C-CCE9A4239B9D}">
      <text>
        <r>
          <rPr>
            <sz val="12"/>
            <color indexed="81"/>
            <rFont val="Calibri"/>
            <family val="2"/>
            <scheme val="minor"/>
          </rPr>
          <t>Andar (pavto + 1)
Térreo = 1º  pavto
1º andar = 2º pavto
2º andar = 3º pavto
Escolher entre Residencial e Comercial</t>
        </r>
      </text>
    </comment>
    <comment ref="AE2" authorId="0" shapeId="0" xr:uid="{C216518F-3191-4F8A-AD08-695DF44B3ACF}">
      <text>
        <r>
          <rPr>
            <sz val="12"/>
            <color indexed="81"/>
            <rFont val="Calibri"/>
            <family val="2"/>
            <scheme val="minor"/>
          </rPr>
          <t>Valor total em R$</t>
        </r>
        <r>
          <rPr>
            <sz val="9"/>
            <color indexed="81"/>
            <rFont val="Segoe UI"/>
            <family val="2"/>
          </rPr>
          <t xml:space="preserve">
Ofertado ou negociado.</t>
        </r>
      </text>
    </comment>
    <comment ref="AF2" authorId="0" shapeId="0" xr:uid="{D128BD11-F202-4DC7-B854-A4C345A1A50D}">
      <text>
        <r>
          <rPr>
            <sz val="12"/>
            <color indexed="81"/>
            <rFont val="Calibri"/>
            <family val="2"/>
            <scheme val="minor"/>
          </rPr>
          <t>Valor unitário antes de qualquer fator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G2" authorId="0" shapeId="0" xr:uid="{51C643D5-8E21-476B-A22A-D1DF31269AAC}">
      <text>
        <r>
          <rPr>
            <sz val="12"/>
            <color indexed="81"/>
            <rFont val="Calibri"/>
            <family val="2"/>
            <scheme val="minor"/>
          </rPr>
          <t>Fator oferta.
Deve ser aplicado antes de homegeneizar pelos outros fatores.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Calibri"/>
            <family val="2"/>
            <scheme val="minor"/>
          </rPr>
          <t>Se for uma oferta, colocar um percetual de 0,85 a 0,95
Se for uma transação, colocar 1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Calibri"/>
            <family val="2"/>
            <scheme val="minor"/>
          </rPr>
          <t xml:space="preserve">Exemplo: o avaliando sempre será calculado como transação, como uma oferta normalmente é maior, possuindo uma margem de negociação, utilização um coeficiente para desconto: 0,85 - 15%; 0,90 - 10% e 0,95 - 5%).
</t>
        </r>
      </text>
    </comment>
    <comment ref="AH2" authorId="0" shapeId="0" xr:uid="{0F6ABF3F-30AC-4060-9C58-3BE4887BF259}">
      <text>
        <r>
          <rPr>
            <sz val="12"/>
            <color indexed="81"/>
            <rFont val="Calibri"/>
            <family val="2"/>
            <scheme val="minor"/>
          </rPr>
          <t>Valor unitário = (Valor total / área)* fon
Escolher qual área utilizar.</t>
        </r>
      </text>
    </comment>
    <comment ref="AJ2" authorId="0" shapeId="0" xr:uid="{8360E765-57A7-49D8-9081-7E9BBB2B68F0}">
      <text>
        <r>
          <rPr>
            <sz val="12"/>
            <color indexed="81"/>
            <rFont val="Calibri"/>
            <family val="2"/>
            <scheme val="minor"/>
          </rPr>
          <t>Razão áreas
dado / avaliando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2" authorId="0" shapeId="0" xr:uid="{339428B3-C36A-4A9C-B0F9-3E2AD4EBE840}">
      <text>
        <r>
          <rPr>
            <sz val="12"/>
            <color indexed="81"/>
            <rFont val="Calibri"/>
            <family val="2"/>
            <scheme val="minor"/>
          </rPr>
          <t>Diferença áreas
dado-avaliando
em valor absoluto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L2" authorId="0" shapeId="0" xr:uid="{8F48536C-8B2F-4E87-B339-EF6FFF7FFD36}">
      <text>
        <r>
          <rPr>
            <sz val="12"/>
            <color indexed="81"/>
            <rFont val="Calibri"/>
            <family val="2"/>
            <scheme val="minor"/>
          </rPr>
          <t>x_ac = 0,3 * área aval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M2" authorId="0" shapeId="0" xr:uid="{90A853B1-4EA3-4E40-B74C-3DDD041423F3}">
      <text>
        <r>
          <rPr>
            <sz val="12"/>
            <color indexed="81"/>
            <rFont val="Calibri"/>
            <family val="2"/>
            <scheme val="minor"/>
          </rPr>
          <t>Este será o expoente da razão.
Caso a diferença absoluta entre a área do avaliando e do dado for menor ou igual a 30%, utiliza-se 0,25, se não 0,15.</t>
        </r>
      </text>
    </comment>
    <comment ref="AO2" authorId="0" shapeId="0" xr:uid="{D1D4D257-0B73-4F1A-BA12-ADEB35A6CC51}">
      <text>
        <r>
          <rPr>
            <sz val="12"/>
            <color indexed="81"/>
            <rFont val="Calibri"/>
            <family val="2"/>
            <scheme val="minor"/>
          </rPr>
          <t>Razão áreas
dado / avaliando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P2" authorId="0" shapeId="0" xr:uid="{3A4E2E66-C694-4812-A415-47A6B7AEEA19}">
      <text>
        <r>
          <rPr>
            <sz val="12"/>
            <color indexed="81"/>
            <rFont val="Calibri"/>
            <family val="2"/>
            <scheme val="minor"/>
          </rPr>
          <t>Diferença áreas
dado-avaliando
em valor absoluto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Q2" authorId="0" shapeId="0" xr:uid="{B16524D7-26ED-447B-B5EB-E09D886257EF}">
      <text>
        <r>
          <rPr>
            <sz val="12"/>
            <color indexed="81"/>
            <rFont val="Calibri"/>
            <family val="2"/>
            <scheme val="minor"/>
          </rPr>
          <t>x_at = 0,3 * área aval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R2" authorId="0" shapeId="0" xr:uid="{E82CC416-3FD2-445F-B5B9-C4BCDC62F1DA}">
      <text>
        <r>
          <rPr>
            <sz val="12"/>
            <color indexed="81"/>
            <rFont val="Calibri"/>
            <family val="2"/>
            <scheme val="minor"/>
          </rPr>
          <t>Este será o expoente da razão.
Caso a diferença absoluta entre a área do avaliando e do dado for menor ou igual a 30%, utiliza-se 0,25, se não 0,15.</t>
        </r>
      </text>
    </comment>
    <comment ref="AT2" authorId="0" shapeId="0" xr:uid="{37E164EB-B170-4BCC-96EB-DAC06DC1B5B9}">
      <text>
        <r>
          <rPr>
            <sz val="9"/>
            <color indexed="81"/>
            <rFont val="Segoe UI"/>
            <family val="2"/>
          </rPr>
          <t>h1 = A_CONS &gt; 5000 and pe &gt; 90
h2 = A_CONS &lt;= 5000 or (A_CONS &gt; 5000 and pe &lt;= 90)</t>
        </r>
      </text>
    </comment>
    <comment ref="AW2" authorId="0" shapeId="0" xr:uid="{FB02C86F-9D5F-4CD8-BAEF-ECA06D18B15A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AX2" authorId="0" shapeId="0" xr:uid="{AFBC5681-25E4-45DA-9D1A-51E70E686D71}">
      <text>
        <r>
          <rPr>
            <sz val="12"/>
            <color indexed="81"/>
            <rFont val="Calibri"/>
            <family val="2"/>
            <scheme val="minor"/>
          </rPr>
          <t>FAC = ( Área construída do dado / Área construída do avaliando ) ^ 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Y2" authorId="0" shapeId="0" xr:uid="{C4B2A940-6738-4D82-8F71-1FE9A05F296F}">
      <text>
        <r>
          <rPr>
            <sz val="12"/>
            <color indexed="81"/>
            <rFont val="Calibri"/>
            <family val="2"/>
            <scheme val="minor"/>
          </rPr>
          <t>FAT = ( Área territorial do dado / Área territorial do avaliando ) ^ 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Z2" authorId="0" shapeId="0" xr:uid="{D065A145-C58C-4252-B46C-308378E5831B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A2" authorId="0" shapeId="0" xr:uid="{6CCEB00E-9235-4FE1-9731-646799D085B2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B2" authorId="0" shapeId="0" xr:uid="{9E4BC72A-9D66-4C2C-B8BB-CF51B5E71E49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C2" authorId="0" shapeId="0" xr:uid="{B6CD2688-78EE-4559-A337-38486496E818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D2" authorId="0" shapeId="0" xr:uid="{50796978-2643-48C6-87BF-4D28EF8E4EA1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E2" authorId="0" shapeId="0" xr:uid="{A29089FF-B5F5-4D8A-B8AD-9F78679338B9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F2" authorId="0" shapeId="0" xr:uid="{CC84068C-6190-4BA1-A53A-B35453D29081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G2" authorId="0" shapeId="0" xr:uid="{0FC504C1-4DC4-4821-B26D-D70687356DCD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H2" authorId="0" shapeId="0" xr:uid="{CC573B13-79EF-4A34-BA15-F125B329F04D}">
      <text>
        <r>
          <rPr>
            <sz val="12"/>
            <color indexed="81"/>
            <rFont val="Calibri"/>
            <family val="2"/>
            <scheme val="minor"/>
          </rPr>
          <t xml:space="preserve">fator = 1 - 0,067 * (Vagas do Dado - Vagas do Avaliando) </t>
        </r>
      </text>
    </comment>
    <comment ref="BI2" authorId="0" shapeId="0" xr:uid="{BC8D25B1-1A5A-41B2-8853-9CF80FCFEE73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J2" authorId="0" shapeId="0" xr:uid="{973698D9-C883-4226-965B-619C40670E19}">
      <text>
        <r>
          <rPr>
            <b/>
            <sz val="12"/>
            <color indexed="81"/>
            <rFont val="Segoe UI"/>
            <family val="2"/>
          </rPr>
          <t>Cálculo da ponderação dos fatores
1 / (1+(fal-1)+(fac-1)+(fat-1)+...(fan-1))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Schuch Bertoglio</author>
  </authors>
  <commentList>
    <comment ref="AH1" authorId="0" shapeId="0" xr:uid="{DEEDD265-942E-48FE-9CF0-AE8B0CC1D218}">
      <text>
        <r>
          <rPr>
            <sz val="12"/>
            <color indexed="81"/>
            <rFont val="Calibri"/>
            <family val="2"/>
            <scheme val="minor"/>
          </rPr>
          <t>Para o cálculo do VUNIT, escolher entre a área do Terreno e a àrea construída.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2" authorId="0" shapeId="0" xr:uid="{49D9CB33-D69D-4D8F-859B-9D79BDCE383B}">
      <text>
        <r>
          <rPr>
            <sz val="12"/>
            <color indexed="81"/>
            <rFont val="Calibri"/>
            <family val="2"/>
            <scheme val="minor"/>
          </rPr>
          <t>Variável local.
Entre 0,5 e 2,0
Conforme sugere a Norma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2" authorId="0" shapeId="0" xr:uid="{72323FB3-F72B-41CF-AF4B-D8302925994A}">
      <text>
        <r>
          <rPr>
            <sz val="12"/>
            <color indexed="81"/>
            <rFont val="Calibri"/>
            <family val="2"/>
            <scheme val="minor"/>
          </rPr>
          <t>Área Construída
em m²</t>
        </r>
        <r>
          <rPr>
            <b/>
            <sz val="12"/>
            <color indexed="81"/>
            <rFont val="Calibri"/>
            <family val="2"/>
            <scheme val="minor"/>
          </rPr>
          <t xml:space="preserve">
</t>
        </r>
      </text>
    </comment>
    <comment ref="G2" authorId="0" shapeId="0" xr:uid="{817C699D-4F69-46E3-AEAD-9F32BFC1A38F}">
      <text>
        <r>
          <rPr>
            <sz val="12"/>
            <color indexed="81"/>
            <rFont val="Calibri"/>
            <family val="2"/>
            <scheme val="minor"/>
          </rPr>
          <t xml:space="preserve">Área Territorial
em m²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2" authorId="0" shapeId="0" xr:uid="{14B0EC74-0675-4E3B-9974-25463543310A}">
      <text>
        <r>
          <rPr>
            <sz val="12"/>
            <color indexed="81"/>
            <rFont val="Calibri"/>
            <family val="2"/>
            <scheme val="minor"/>
          </rPr>
          <t>Testada em 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" authorId="0" shapeId="0" xr:uid="{291F6173-E7B4-420B-8DE1-B5441968A17C}">
      <text>
        <r>
          <rPr>
            <sz val="12"/>
            <color indexed="81"/>
            <rFont val="Calibri"/>
            <family val="2"/>
            <scheme val="minor"/>
          </rPr>
          <t>Profundidade equivalente.
Campo não deve ser preencido.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2" authorId="0" shapeId="0" xr:uid="{BA8BF43F-6419-476E-B152-110604E6C32A}">
      <text>
        <r>
          <rPr>
            <sz val="12"/>
            <color indexed="81"/>
            <rFont val="Calibri"/>
            <family val="2"/>
            <scheme val="minor"/>
          </rPr>
          <t>Topografia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2" authorId="0" shapeId="0" xr:uid="{8BBB2D12-B6A2-4E1A-90C3-98D866AC4C53}">
      <text>
        <r>
          <rPr>
            <sz val="12"/>
            <color indexed="81"/>
            <rFont val="Calibri"/>
            <family val="2"/>
            <scheme val="minor"/>
          </rPr>
          <t>Relevo</t>
        </r>
        <r>
          <rPr>
            <b/>
            <sz val="12"/>
            <color indexed="81"/>
            <rFont val="Calibri"/>
            <family val="2"/>
            <scheme val="minor"/>
          </rPr>
          <t xml:space="preserve">
</t>
        </r>
      </text>
    </comment>
    <comment ref="Q2" authorId="0" shapeId="0" xr:uid="{F4CFB23D-49E7-4E21-AB49-BEBC537F2E54}">
      <text>
        <r>
          <rPr>
            <sz val="12"/>
            <color indexed="81"/>
            <rFont val="Calibri"/>
            <family val="2"/>
            <scheme val="minor"/>
          </rPr>
          <t>Superfície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S2" authorId="0" shapeId="0" xr:uid="{1BF665B6-815E-4219-B693-D4A2AF2B7F4B}">
      <text>
        <r>
          <rPr>
            <sz val="12"/>
            <color indexed="81"/>
            <rFont val="Calibri"/>
            <family val="2"/>
            <scheme val="minor"/>
          </rPr>
          <t>Aproveitamento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U2" authorId="0" shapeId="0" xr:uid="{0B7F693E-C7A9-4AFE-BF5A-1036D7702548}">
      <text>
        <r>
          <rPr>
            <b/>
            <sz val="9"/>
            <color indexed="81"/>
            <rFont val="Segoe UI"/>
            <family val="2"/>
          </rPr>
          <t>Acessibilidade</t>
        </r>
      </text>
    </comment>
    <comment ref="W2" authorId="0" shapeId="0" xr:uid="{EED8C7E7-83A8-40AB-B22B-F7129E57EB31}">
      <text>
        <r>
          <rPr>
            <sz val="12"/>
            <color indexed="81"/>
            <rFont val="Calibri"/>
            <family val="2"/>
            <scheme val="minor"/>
          </rPr>
          <t xml:space="preserve">Idade aparente e conservação
</t>
        </r>
      </text>
    </comment>
    <comment ref="Y2" authorId="0" shapeId="0" xr:uid="{D6FCA207-D559-4A5A-83AE-5F86535D38AE}">
      <text>
        <r>
          <rPr>
            <sz val="12"/>
            <color indexed="81"/>
            <rFont val="Calibri"/>
            <family val="2"/>
            <scheme val="minor"/>
          </rPr>
          <t>Padrão construtivo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A2" authorId="0" shapeId="0" xr:uid="{25E6250C-B965-4116-A0C7-09FB86065AB9}">
      <text>
        <r>
          <rPr>
            <sz val="12"/>
            <color indexed="81"/>
            <rFont val="Calibri"/>
            <family val="2"/>
            <scheme val="minor"/>
          </rPr>
          <t>Número de vagas de estacionamento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C2" authorId="0" shapeId="0" xr:uid="{D69D1C7E-05ED-4F2B-A334-C431BA494886}">
      <text>
        <r>
          <rPr>
            <sz val="12"/>
            <color indexed="81"/>
            <rFont val="Calibri"/>
            <family val="2"/>
            <scheme val="minor"/>
          </rPr>
          <t>Andar (pavto + 1)
Térreo = 1º  pavto
1º andar = 2º pavto
2º andar = 3º pavto
Escolher entre Residencial e Comercial</t>
        </r>
      </text>
    </comment>
    <comment ref="AE2" authorId="0" shapeId="0" xr:uid="{E5A6FE95-90C0-4FA2-811A-304E0610B910}">
      <text>
        <r>
          <rPr>
            <sz val="12"/>
            <color indexed="81"/>
            <rFont val="Calibri"/>
            <family val="2"/>
            <scheme val="minor"/>
          </rPr>
          <t>Valor total em R$</t>
        </r>
        <r>
          <rPr>
            <sz val="9"/>
            <color indexed="81"/>
            <rFont val="Segoe UI"/>
            <family val="2"/>
          </rPr>
          <t xml:space="preserve">
Ofertado ou negociado.</t>
        </r>
      </text>
    </comment>
    <comment ref="AF2" authorId="0" shapeId="0" xr:uid="{F5D39CEF-966A-4412-AE2C-ECC0A0F92C7B}">
      <text>
        <r>
          <rPr>
            <sz val="12"/>
            <color indexed="81"/>
            <rFont val="Calibri"/>
            <family val="2"/>
            <scheme val="minor"/>
          </rPr>
          <t>Valor unitário antes de qualquer fator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G2" authorId="0" shapeId="0" xr:uid="{30907E0E-FD4F-4E88-9D32-6BCD5ECF8FF9}">
      <text>
        <r>
          <rPr>
            <sz val="12"/>
            <color indexed="81"/>
            <rFont val="Calibri"/>
            <family val="2"/>
            <scheme val="minor"/>
          </rPr>
          <t>Fator oferta.
Deve ser aplicado antes de homegeneizar pelos outros fatores.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Calibri"/>
            <family val="2"/>
            <scheme val="minor"/>
          </rPr>
          <t>Se for uma oferta, colocar um percetual de 0,85 a 0,95
Se for uma transação, colocar 1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Calibri"/>
            <family val="2"/>
            <scheme val="minor"/>
          </rPr>
          <t xml:space="preserve">Exemplo: o avaliando sempre será calculado como transação, como uma oferta normalmente é maior, possuindo uma margem de negociação, utilização um coeficiente para desconto: 0,85 - 15%; 0,90 - 10% e 0,95 - 5%).
</t>
        </r>
      </text>
    </comment>
    <comment ref="AH2" authorId="0" shapeId="0" xr:uid="{F1139527-72FC-4CCC-BCFD-DA51FC368B73}">
      <text>
        <r>
          <rPr>
            <sz val="12"/>
            <color indexed="81"/>
            <rFont val="Calibri"/>
            <family val="2"/>
            <scheme val="minor"/>
          </rPr>
          <t>Valor unitário = (Valor total / área)* fon
Escolher qual área utilizar.</t>
        </r>
      </text>
    </comment>
    <comment ref="AJ2" authorId="0" shapeId="0" xr:uid="{7D177116-AB64-47A7-BBF2-38D4518A59C6}">
      <text>
        <r>
          <rPr>
            <sz val="12"/>
            <color indexed="81"/>
            <rFont val="Calibri"/>
            <family val="2"/>
            <scheme val="minor"/>
          </rPr>
          <t>Razão áreas
dado / avaliando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2" authorId="0" shapeId="0" xr:uid="{EFCBB49C-0626-495A-9FBE-C4B2B236207A}">
      <text>
        <r>
          <rPr>
            <sz val="12"/>
            <color indexed="81"/>
            <rFont val="Calibri"/>
            <family val="2"/>
            <scheme val="minor"/>
          </rPr>
          <t>Diferença áreas
dado-avaliando
em valor absoluto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L2" authorId="0" shapeId="0" xr:uid="{80941CC9-B20F-4CED-97CF-961CAAAF6656}">
      <text>
        <r>
          <rPr>
            <sz val="12"/>
            <color indexed="81"/>
            <rFont val="Calibri"/>
            <family val="2"/>
            <scheme val="minor"/>
          </rPr>
          <t>x_ac = 0,3 * área aval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M2" authorId="0" shapeId="0" xr:uid="{3936840B-8736-4B44-B55B-F39E22ABB8F1}">
      <text>
        <r>
          <rPr>
            <sz val="12"/>
            <color indexed="81"/>
            <rFont val="Calibri"/>
            <family val="2"/>
            <scheme val="minor"/>
          </rPr>
          <t>Este será o expoente da razão.
Caso a diferença absoluta entre a área do avaliando e do dado for menor ou igual a 30%, utiliza-se 0,25, se não 0,15.</t>
        </r>
      </text>
    </comment>
    <comment ref="AO2" authorId="0" shapeId="0" xr:uid="{D66B7B22-9FF1-4A7A-AECB-8A42BC521B7E}">
      <text>
        <r>
          <rPr>
            <sz val="12"/>
            <color indexed="81"/>
            <rFont val="Calibri"/>
            <family val="2"/>
            <scheme val="minor"/>
          </rPr>
          <t>Razão áreas
dado / avaliando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P2" authorId="0" shapeId="0" xr:uid="{165DA4AD-550F-4621-A9FC-F1F40F004F8E}">
      <text>
        <r>
          <rPr>
            <sz val="12"/>
            <color indexed="81"/>
            <rFont val="Calibri"/>
            <family val="2"/>
            <scheme val="minor"/>
          </rPr>
          <t>Diferença áreas
dado-avaliando
em valor absoluto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Q2" authorId="0" shapeId="0" xr:uid="{EF23C7F8-3CC8-4D31-AF19-2143C397D6BF}">
      <text>
        <r>
          <rPr>
            <sz val="12"/>
            <color indexed="81"/>
            <rFont val="Calibri"/>
            <family val="2"/>
            <scheme val="minor"/>
          </rPr>
          <t>x_at = 0,3 * área aval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R2" authorId="0" shapeId="0" xr:uid="{0C38545C-A332-4638-8FF5-BCF3C037D737}">
      <text>
        <r>
          <rPr>
            <sz val="12"/>
            <color indexed="81"/>
            <rFont val="Calibri"/>
            <family val="2"/>
            <scheme val="minor"/>
          </rPr>
          <t>Este será o expoente da razão.
Caso a diferença absoluta entre a área do avaliando e do dado for menor ou igual a 30%, utiliza-se 0,25, se não 0,15.</t>
        </r>
      </text>
    </comment>
    <comment ref="AT2" authorId="0" shapeId="0" xr:uid="{A4544025-15BD-4EB8-B69D-56D1091986C4}">
      <text>
        <r>
          <rPr>
            <sz val="9"/>
            <color indexed="81"/>
            <rFont val="Segoe UI"/>
            <family val="2"/>
          </rPr>
          <t>h1 = A_CONS &gt; 5000 and pe &gt; 90
h2 = A_CONS &lt;= 5000 or (A_CONS &gt; 5000 and pe &lt;= 90)</t>
        </r>
      </text>
    </comment>
    <comment ref="AW2" authorId="0" shapeId="0" xr:uid="{7DD2CBE3-9682-4031-9CBE-187E71DF7A65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AX2" authorId="0" shapeId="0" xr:uid="{1225929A-AE9D-4FA5-8CC9-041CAF225BA7}">
      <text>
        <r>
          <rPr>
            <sz val="12"/>
            <color indexed="81"/>
            <rFont val="Calibri"/>
            <family val="2"/>
            <scheme val="minor"/>
          </rPr>
          <t>FAC = ( Área construída do dado / Área construída do avaliando ) ^ 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Y2" authorId="0" shapeId="0" xr:uid="{3B1C42F2-C949-41E1-84C1-6CD91CFDDC55}">
      <text>
        <r>
          <rPr>
            <sz val="12"/>
            <color indexed="81"/>
            <rFont val="Calibri"/>
            <family val="2"/>
            <scheme val="minor"/>
          </rPr>
          <t>FAT = ( Área territorial do dado / Área territorial do avaliando ) ^ 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Z2" authorId="0" shapeId="0" xr:uid="{A7B3B37A-7802-48C8-906B-695996057867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A2" authorId="0" shapeId="0" xr:uid="{5703E024-C57E-4106-8BE2-36473070615C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B2" authorId="0" shapeId="0" xr:uid="{325CEAB1-44B0-4915-9E92-62402C095EC2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C2" authorId="0" shapeId="0" xr:uid="{DDA8F37D-351A-4669-9798-B7CB88FA1F06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D2" authorId="0" shapeId="0" xr:uid="{FD4837E5-A902-4E11-88F2-657030366540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E2" authorId="0" shapeId="0" xr:uid="{01EB2FDE-C568-4538-922F-9AF98E2C3BB7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F2" authorId="0" shapeId="0" xr:uid="{1A2A5118-BCFA-4C60-8A4E-C143A56720C1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G2" authorId="0" shapeId="0" xr:uid="{EBC9C013-D9A7-4C7E-AE60-08E341609103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H2" authorId="0" shapeId="0" xr:uid="{297E3025-48E9-46FA-BC32-1FA3ADE3B786}">
      <text>
        <r>
          <rPr>
            <sz val="12"/>
            <color indexed="81"/>
            <rFont val="Calibri"/>
            <family val="2"/>
            <scheme val="minor"/>
          </rPr>
          <t xml:space="preserve">fator = 1 - 0,067 * (Vagas do Dado - Vagas do Avaliando) </t>
        </r>
      </text>
    </comment>
    <comment ref="BI2" authorId="0" shapeId="0" xr:uid="{0CB55427-0A0C-49A1-A265-9BCE92C28F11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J2" authorId="0" shapeId="0" xr:uid="{E373BA51-D47B-47CC-A12B-154573600456}">
      <text>
        <r>
          <rPr>
            <b/>
            <sz val="12"/>
            <color indexed="81"/>
            <rFont val="Segoe UI"/>
            <family val="2"/>
          </rPr>
          <t>Cálculo da ponderação dos fatores
1 / (1+(fal-1)+(fac-1)+(fat-1)+...(fan-1))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Schuch Bertoglio</author>
  </authors>
  <commentList>
    <comment ref="AH1" authorId="0" shapeId="0" xr:uid="{A1782FCD-2EB3-4238-AC2A-0A92BFA77A00}">
      <text>
        <r>
          <rPr>
            <sz val="12"/>
            <color indexed="81"/>
            <rFont val="Calibri"/>
            <family val="2"/>
            <scheme val="minor"/>
          </rPr>
          <t>Para o cálculo do VUNIT, escolher entre a área do Terreno e a àrea construída.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2" authorId="0" shapeId="0" xr:uid="{00AC321C-BB40-433F-8E7B-B5E8CED34088}">
      <text>
        <r>
          <rPr>
            <sz val="12"/>
            <color indexed="81"/>
            <rFont val="Calibri"/>
            <family val="2"/>
            <scheme val="minor"/>
          </rPr>
          <t>Variável local.
Entre 0,5 e 2,0
Conforme sugere a Norma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2" authorId="0" shapeId="0" xr:uid="{4AC499E8-D578-49D8-888F-FB50FE72C099}">
      <text>
        <r>
          <rPr>
            <sz val="12"/>
            <color indexed="81"/>
            <rFont val="Calibri"/>
            <family val="2"/>
            <scheme val="minor"/>
          </rPr>
          <t>Área Construída
em m²</t>
        </r>
        <r>
          <rPr>
            <b/>
            <sz val="12"/>
            <color indexed="81"/>
            <rFont val="Calibri"/>
            <family val="2"/>
            <scheme val="minor"/>
          </rPr>
          <t xml:space="preserve">
</t>
        </r>
      </text>
    </comment>
    <comment ref="G2" authorId="0" shapeId="0" xr:uid="{A3D07F3C-962A-4CC7-A9EC-BA7FBD85E727}">
      <text>
        <r>
          <rPr>
            <sz val="12"/>
            <color indexed="81"/>
            <rFont val="Calibri"/>
            <family val="2"/>
            <scheme val="minor"/>
          </rPr>
          <t xml:space="preserve">Área Territorial
em m²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2" authorId="0" shapeId="0" xr:uid="{E4BAE354-442A-4BF7-9C76-09E1097C0A45}">
      <text>
        <r>
          <rPr>
            <sz val="12"/>
            <color indexed="81"/>
            <rFont val="Calibri"/>
            <family val="2"/>
            <scheme val="minor"/>
          </rPr>
          <t>Testada em 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" authorId="0" shapeId="0" xr:uid="{BAD80BAB-BE3D-4BFE-827C-C17122CEFFCD}">
      <text>
        <r>
          <rPr>
            <sz val="12"/>
            <color indexed="81"/>
            <rFont val="Calibri"/>
            <family val="2"/>
            <scheme val="minor"/>
          </rPr>
          <t>Profundidade equivalente.
Campo não deve ser preencido.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2" authorId="0" shapeId="0" xr:uid="{2399C8A4-4183-44B8-A8D3-1DA11E1B1977}">
      <text>
        <r>
          <rPr>
            <sz val="12"/>
            <color indexed="81"/>
            <rFont val="Calibri"/>
            <family val="2"/>
            <scheme val="minor"/>
          </rPr>
          <t>Topografia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2" authorId="0" shapeId="0" xr:uid="{88F8C12F-B08A-4678-8435-BC339198F537}">
      <text>
        <r>
          <rPr>
            <sz val="12"/>
            <color indexed="81"/>
            <rFont val="Calibri"/>
            <family val="2"/>
            <scheme val="minor"/>
          </rPr>
          <t>Relevo</t>
        </r>
        <r>
          <rPr>
            <b/>
            <sz val="12"/>
            <color indexed="81"/>
            <rFont val="Calibri"/>
            <family val="2"/>
            <scheme val="minor"/>
          </rPr>
          <t xml:space="preserve">
</t>
        </r>
      </text>
    </comment>
    <comment ref="Q2" authorId="0" shapeId="0" xr:uid="{1394F045-11C4-4E2E-9C31-300CA28F9583}">
      <text>
        <r>
          <rPr>
            <sz val="12"/>
            <color indexed="81"/>
            <rFont val="Calibri"/>
            <family val="2"/>
            <scheme val="minor"/>
          </rPr>
          <t>Superfície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S2" authorId="0" shapeId="0" xr:uid="{E7EB102F-9DCA-4587-B556-DE6B371947D9}">
      <text>
        <r>
          <rPr>
            <sz val="12"/>
            <color indexed="81"/>
            <rFont val="Calibri"/>
            <family val="2"/>
            <scheme val="minor"/>
          </rPr>
          <t>Aproveitamento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U2" authorId="0" shapeId="0" xr:uid="{B159B4BC-1A04-489B-9311-1FD0B58434D2}">
      <text>
        <r>
          <rPr>
            <b/>
            <sz val="9"/>
            <color indexed="81"/>
            <rFont val="Segoe UI"/>
            <family val="2"/>
          </rPr>
          <t>Acessibilidade</t>
        </r>
      </text>
    </comment>
    <comment ref="W2" authorId="0" shapeId="0" xr:uid="{25D1188C-B39B-42EB-9315-F3EDB3D202B9}">
      <text>
        <r>
          <rPr>
            <sz val="12"/>
            <color indexed="81"/>
            <rFont val="Calibri"/>
            <family val="2"/>
            <scheme val="minor"/>
          </rPr>
          <t xml:space="preserve">Idade aparente e conservação
</t>
        </r>
      </text>
    </comment>
    <comment ref="Y2" authorId="0" shapeId="0" xr:uid="{D160C1C8-769D-4848-8502-60F89CA123F6}">
      <text>
        <r>
          <rPr>
            <sz val="12"/>
            <color indexed="81"/>
            <rFont val="Calibri"/>
            <family val="2"/>
            <scheme val="minor"/>
          </rPr>
          <t>Padrão construtivo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A2" authorId="0" shapeId="0" xr:uid="{D261AB84-98EB-49ED-A4D9-1F8BDDE1CBB8}">
      <text>
        <r>
          <rPr>
            <sz val="12"/>
            <color indexed="81"/>
            <rFont val="Calibri"/>
            <family val="2"/>
            <scheme val="minor"/>
          </rPr>
          <t>Número de vagas de estacionamento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C2" authorId="0" shapeId="0" xr:uid="{F093EB6A-9E06-435E-A8EC-8E8B482EFEC1}">
      <text>
        <r>
          <rPr>
            <sz val="12"/>
            <color indexed="81"/>
            <rFont val="Calibri"/>
            <family val="2"/>
            <scheme val="minor"/>
          </rPr>
          <t>Andar (pavto + 1)
Térreo = 1º  pavto
1º andar = 2º pavto
2º andar = 3º pavto
Escolher entre Residencial e Comercial</t>
        </r>
      </text>
    </comment>
    <comment ref="AE2" authorId="0" shapeId="0" xr:uid="{AB1423D0-E85B-4EAA-B6E5-552B6852C625}">
      <text>
        <r>
          <rPr>
            <sz val="12"/>
            <color indexed="81"/>
            <rFont val="Calibri"/>
            <family val="2"/>
            <scheme val="minor"/>
          </rPr>
          <t>Valor total em R$</t>
        </r>
        <r>
          <rPr>
            <sz val="9"/>
            <color indexed="81"/>
            <rFont val="Segoe UI"/>
            <family val="2"/>
          </rPr>
          <t xml:space="preserve">
Ofertado ou negociado.</t>
        </r>
      </text>
    </comment>
    <comment ref="AF2" authorId="0" shapeId="0" xr:uid="{BF10F854-9E3A-4A14-A732-E0820BF9571F}">
      <text>
        <r>
          <rPr>
            <sz val="12"/>
            <color indexed="81"/>
            <rFont val="Calibri"/>
            <family val="2"/>
            <scheme val="minor"/>
          </rPr>
          <t>Valor unitário antes de qualquer fator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G2" authorId="0" shapeId="0" xr:uid="{8EB3DD21-43EF-4F22-A741-F6D41760B941}">
      <text>
        <r>
          <rPr>
            <sz val="12"/>
            <color indexed="81"/>
            <rFont val="Calibri"/>
            <family val="2"/>
            <scheme val="minor"/>
          </rPr>
          <t>Fator oferta.
Deve ser aplicado antes de homegeneizar pelos outros fatores.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Calibri"/>
            <family val="2"/>
            <scheme val="minor"/>
          </rPr>
          <t>Se for uma oferta, colocar um percetual de 0,85 a 0,95
Se for uma transação, colocar 1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Calibri"/>
            <family val="2"/>
            <scheme val="minor"/>
          </rPr>
          <t xml:space="preserve">Exemplo: o avaliando sempre será calculado como transação, como uma oferta normalmente é maior, possuindo uma margem de negociação, utilização um coeficiente para desconto: 0,85 - 15%; 0,90 - 10% e 0,95 - 5%).
</t>
        </r>
      </text>
    </comment>
    <comment ref="AH2" authorId="0" shapeId="0" xr:uid="{2FB68B42-301B-4D0A-9419-F5D6B72F125D}">
      <text>
        <r>
          <rPr>
            <sz val="12"/>
            <color indexed="81"/>
            <rFont val="Calibri"/>
            <family val="2"/>
            <scheme val="minor"/>
          </rPr>
          <t>Valor unitário = (Valor total / área)* fon
Escolher qual área utilizar.</t>
        </r>
      </text>
    </comment>
    <comment ref="AJ2" authorId="0" shapeId="0" xr:uid="{EFBEFC30-77DF-4B81-948E-FB751D207BE1}">
      <text>
        <r>
          <rPr>
            <sz val="12"/>
            <color indexed="81"/>
            <rFont val="Calibri"/>
            <family val="2"/>
            <scheme val="minor"/>
          </rPr>
          <t>Razão áreas
dado / avaliando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K2" authorId="0" shapeId="0" xr:uid="{734B5ECD-9C6A-408B-BCEB-A7BC0D8B89A8}">
      <text>
        <r>
          <rPr>
            <sz val="12"/>
            <color indexed="81"/>
            <rFont val="Calibri"/>
            <family val="2"/>
            <scheme val="minor"/>
          </rPr>
          <t>Diferença áreas
dado-avaliando
em valor absoluto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L2" authorId="0" shapeId="0" xr:uid="{E5813182-9059-40D9-A288-57FF1DBAB587}">
      <text>
        <r>
          <rPr>
            <sz val="12"/>
            <color indexed="81"/>
            <rFont val="Calibri"/>
            <family val="2"/>
            <scheme val="minor"/>
          </rPr>
          <t>x_ac = 0,3 * área aval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M2" authorId="0" shapeId="0" xr:uid="{965E4E48-23EE-4070-B07E-0360E644A5FA}">
      <text>
        <r>
          <rPr>
            <sz val="12"/>
            <color indexed="81"/>
            <rFont val="Calibri"/>
            <family val="2"/>
            <scheme val="minor"/>
          </rPr>
          <t>Este será o expoente da razão.
Caso a diferença absoluta entre a área do avaliando e do dado for menor ou igual a 30%, utiliza-se 0,25, se não 0,15.</t>
        </r>
      </text>
    </comment>
    <comment ref="AO2" authorId="0" shapeId="0" xr:uid="{7253FA81-9D32-4E65-87A5-7D84F82331C7}">
      <text>
        <r>
          <rPr>
            <sz val="12"/>
            <color indexed="81"/>
            <rFont val="Calibri"/>
            <family val="2"/>
            <scheme val="minor"/>
          </rPr>
          <t>Razão áreas
dado / avaliando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P2" authorId="0" shapeId="0" xr:uid="{DF53F636-99E4-4299-B5FD-9087035EA436}">
      <text>
        <r>
          <rPr>
            <sz val="12"/>
            <color indexed="81"/>
            <rFont val="Calibri"/>
            <family val="2"/>
            <scheme val="minor"/>
          </rPr>
          <t>Diferença áreas
dado-avaliando
em valor absoluto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Q2" authorId="0" shapeId="0" xr:uid="{258CB629-0823-4D93-AC77-C261C66573F8}">
      <text>
        <r>
          <rPr>
            <sz val="12"/>
            <color indexed="81"/>
            <rFont val="Calibri"/>
            <family val="2"/>
            <scheme val="minor"/>
          </rPr>
          <t>x_at = 0,3 * área aval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R2" authorId="0" shapeId="0" xr:uid="{BB8BD44F-8D30-46E5-A7D2-BF9EF1D0807C}">
      <text>
        <r>
          <rPr>
            <sz val="12"/>
            <color indexed="81"/>
            <rFont val="Calibri"/>
            <family val="2"/>
            <scheme val="minor"/>
          </rPr>
          <t>Este será o expoente da razão.
Caso a diferença absoluta entre a área do avaliando e do dado for menor ou igual a 30%, utiliza-se 0,25, se não 0,15.</t>
        </r>
      </text>
    </comment>
    <comment ref="AT2" authorId="0" shapeId="0" xr:uid="{303D5D75-1A47-46C7-AAC7-BBA103AD05CB}">
      <text>
        <r>
          <rPr>
            <sz val="9"/>
            <color indexed="81"/>
            <rFont val="Segoe UI"/>
            <family val="2"/>
          </rPr>
          <t>h1 = A_CONS &gt; 5000 and pe &gt; 90
h2 = A_CONS &lt;= 5000 or (A_CONS &gt; 5000 and pe &lt;= 90)</t>
        </r>
      </text>
    </comment>
    <comment ref="AW2" authorId="0" shapeId="0" xr:uid="{6CB70649-F2CF-4EE3-98EC-ABFD0359AA6E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AX2" authorId="0" shapeId="0" xr:uid="{C1BA8EC8-174E-45DF-BE50-A118C446A312}">
      <text>
        <r>
          <rPr>
            <sz val="12"/>
            <color indexed="81"/>
            <rFont val="Calibri"/>
            <family val="2"/>
            <scheme val="minor"/>
          </rPr>
          <t>FAC = ( Área construída do dado / Área construída do avaliando ) ^ 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Y2" authorId="0" shapeId="0" xr:uid="{D049E82B-2512-4FDF-BB9F-4BF95A9749BA}">
      <text>
        <r>
          <rPr>
            <sz val="12"/>
            <color indexed="81"/>
            <rFont val="Calibri"/>
            <family val="2"/>
            <scheme val="minor"/>
          </rPr>
          <t>FAT = ( Área territorial do dado / Área territorial do avaliando ) ^ 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Z2" authorId="0" shapeId="0" xr:uid="{81B28E5E-32C0-4978-9197-6DC84C64863A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A2" authorId="0" shapeId="0" xr:uid="{224A6808-6A1F-488A-A51C-F157153EBB8B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B2" authorId="0" shapeId="0" xr:uid="{03B88EA3-C52F-44DD-932B-248197BE9C9C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C2" authorId="0" shapeId="0" xr:uid="{40F806FA-182D-4B36-A054-B9655A9DB9D8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D2" authorId="0" shapeId="0" xr:uid="{0B40CC94-95F7-4704-84D7-F2E74C856D5D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E2" authorId="0" shapeId="0" xr:uid="{CE67281D-0EB5-4B98-9ADC-34969C92BFBC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F2" authorId="0" shapeId="0" xr:uid="{09712998-21A4-4852-9516-DF6AC84E4014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G2" authorId="0" shapeId="0" xr:uid="{E823FB33-E790-4165-9ED3-6497FA295CAC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H2" authorId="0" shapeId="0" xr:uid="{86598A3B-C3F4-419C-BEE8-4268A8352D44}">
      <text>
        <r>
          <rPr>
            <sz val="12"/>
            <color indexed="81"/>
            <rFont val="Calibri"/>
            <family val="2"/>
            <scheme val="minor"/>
          </rPr>
          <t xml:space="preserve">fator = 1 - 0,067 * (Vagas do Dado - Vagas do Avaliando) </t>
        </r>
      </text>
    </comment>
    <comment ref="BI2" authorId="0" shapeId="0" xr:uid="{66FCD2E2-4CF6-4FBD-A591-BC590A1D3DAE}">
      <text>
        <r>
          <rPr>
            <sz val="12"/>
            <color indexed="81"/>
            <rFont val="Calibri"/>
            <family val="2"/>
            <scheme val="minor"/>
          </rPr>
          <t>fator = coef_aval / coef dado</t>
        </r>
      </text>
    </comment>
    <comment ref="BJ2" authorId="0" shapeId="0" xr:uid="{11F67E29-C039-4577-9EE3-24E75CBCA664}">
      <text>
        <r>
          <rPr>
            <b/>
            <sz val="12"/>
            <color indexed="81"/>
            <rFont val="Segoe UI"/>
            <family val="2"/>
          </rPr>
          <t>Cálculo da ponderação dos fatores
1 / (1+(fal-1)+(fac-1)+(fat-1)+...(fan-1))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<sst xmlns="http://schemas.openxmlformats.org/spreadsheetml/2006/main" count="723" uniqueCount="303">
  <si>
    <t>Padrão construtivo</t>
  </si>
  <si>
    <t>dict_ic = {</t>
  </si>
  <si>
    <t>dict_pad = {</t>
  </si>
  <si>
    <t>}</t>
  </si>
  <si>
    <t>alto_comercial</t>
  </si>
  <si>
    <t>médio/alto_comercial</t>
  </si>
  <si>
    <t>médio_comercial</t>
  </si>
  <si>
    <t>médio/baixo_comercial</t>
  </si>
  <si>
    <t>baixo_comercial</t>
  </si>
  <si>
    <t>alto_residencial</t>
  </si>
  <si>
    <t>médio/alto_residencial</t>
  </si>
  <si>
    <t>médio_residencial</t>
  </si>
  <si>
    <t>médio/baixo_residencial</t>
  </si>
  <si>
    <t>baixo_residencial</t>
  </si>
  <si>
    <t xml:space="preserve">    'baixo_residencial': 1.00,</t>
  </si>
  <si>
    <t xml:space="preserve">    'médio/baixo_residencial': 1.15,</t>
  </si>
  <si>
    <t xml:space="preserve">    'médio/alto_residencial': 1.45,</t>
  </si>
  <si>
    <t xml:space="preserve">    'alto_residencial': 1.65,</t>
  </si>
  <si>
    <t xml:space="preserve">    'baixo_comercial': 1.00,</t>
  </si>
  <si>
    <t xml:space="preserve">    'médio/baixo_comercial': 1.08,</t>
  </si>
  <si>
    <t xml:space="preserve">    'médio_comercial': 1.15,</t>
  </si>
  <si>
    <t xml:space="preserve">    'médio/alto_comercial': 1.25,</t>
  </si>
  <si>
    <t xml:space="preserve">    'id&lt;5_novo': 1.00,</t>
  </si>
  <si>
    <t xml:space="preserve">    'id&lt;5_bom': 0.95,</t>
  </si>
  <si>
    <t xml:space="preserve">    'id&lt;5_reparos simples': 0.80,</t>
  </si>
  <si>
    <t xml:space="preserve">    'id&lt;5_reparos importantes': 0.45,</t>
  </si>
  <si>
    <t xml:space="preserve">    'id entre 6 e 10_novo': 0.95,</t>
  </si>
  <si>
    <t xml:space="preserve">    'id entre 6 e 10_bom': 0.90,</t>
  </si>
  <si>
    <t xml:space="preserve">    'id entre 6 e 10_reparos simples': 0.75,</t>
  </si>
  <si>
    <t xml:space="preserve">    'id entre 6 e 10_reparos importantes': 0.40,</t>
  </si>
  <si>
    <t xml:space="preserve">    'id entre 11 e 30_novo': 0.85,</t>
  </si>
  <si>
    <t xml:space="preserve">    'id entre 11 e 30_bom': 0.80,</t>
  </si>
  <si>
    <t xml:space="preserve">    'id entre 11 e 30_reparos simples': 0.65,</t>
  </si>
  <si>
    <t xml:space="preserve">    'id entre 11 e 30_reparos importantes': 0.35,</t>
  </si>
  <si>
    <t xml:space="preserve">    'id entre 31 e 50_novo': 0.55,</t>
  </si>
  <si>
    <t xml:space="preserve">    'id entre 31 e 50_bom': 0.50,</t>
  </si>
  <si>
    <t xml:space="preserve">    'id entre 31 e 50_reparos simples': 0.45,</t>
  </si>
  <si>
    <t xml:space="preserve">    'id entre 31 e 50_reparos importantes': 0.25,</t>
  </si>
  <si>
    <t xml:space="preserve">    'id&gt;50_novo': 0.30,</t>
  </si>
  <si>
    <t xml:space="preserve">    'id&gt;50_bom': 0.20,</t>
  </si>
  <si>
    <t xml:space="preserve">    'id&gt;50_reparos simples': 0.15,</t>
  </si>
  <si>
    <t>id&lt;5_novo</t>
  </si>
  <si>
    <t>id&lt;5_bom</t>
  </si>
  <si>
    <t>id&lt;5_reparos simples</t>
  </si>
  <si>
    <t>id&lt;5_reparos importantes</t>
  </si>
  <si>
    <t>id entre 6 e 10_novo</t>
  </si>
  <si>
    <t>id entre 6 e 10_bom</t>
  </si>
  <si>
    <t>id entre 6 e 10_reparos simples</t>
  </si>
  <si>
    <t>id&gt;50_reparos importantes</t>
  </si>
  <si>
    <t>id&gt;50_reparos simples</t>
  </si>
  <si>
    <t>id&gt;50_bom</t>
  </si>
  <si>
    <t>id&gt;50_novo</t>
  </si>
  <si>
    <t>id entre 31 e 50_reparos importantes</t>
  </si>
  <si>
    <t>id entre 31 e 50_reparos simples</t>
  </si>
  <si>
    <t>id entre 31 e 50_bom</t>
  </si>
  <si>
    <t>id entre 31 e 50_novo</t>
  </si>
  <si>
    <t>id entre 11 e 30_reparos importantes</t>
  </si>
  <si>
    <t>id entre 6 e 10_reparos importantes</t>
  </si>
  <si>
    <t>id entre 11 e 30_novo</t>
  </si>
  <si>
    <t>id entre 11 e 30_bom</t>
  </si>
  <si>
    <t>id entre 11 e 30_reparos simples</t>
  </si>
  <si>
    <t xml:space="preserve">    'médio_residencial': 1.30,</t>
  </si>
  <si>
    <t xml:space="preserve">    'alto_comercial': 1.40</t>
  </si>
  <si>
    <t>dict_topo = {</t>
  </si>
  <si>
    <t>plano &lt;5%</t>
  </si>
  <si>
    <t>declive_leve 5% e 30%</t>
  </si>
  <si>
    <t>aclive_leve 5% e 30%</t>
  </si>
  <si>
    <t>aclive_acentuado &gt;30%</t>
  </si>
  <si>
    <t>declive_acentuado &gt;30%</t>
  </si>
  <si>
    <t xml:space="preserve">    'plano &lt;5%': 1,</t>
  </si>
  <si>
    <t xml:space="preserve">    'aclive_leve 5% e 30%': 0.95,</t>
  </si>
  <si>
    <t xml:space="preserve">    'declive_leve 5% e 30%': 0.90,</t>
  </si>
  <si>
    <t xml:space="preserve">    'aclive_acentuado &gt;30%': 0.85,</t>
  </si>
  <si>
    <t xml:space="preserve">    'declive_acentuado &gt;30%': 0.80,</t>
  </si>
  <si>
    <t>não se aplica</t>
  </si>
  <si>
    <t xml:space="preserve">    'id&gt;50_reparos importantes': 0.10,</t>
  </si>
  <si>
    <t xml:space="preserve">    'não se aplica': 1.00</t>
  </si>
  <si>
    <t>Superfície</t>
  </si>
  <si>
    <t>dict_sup = {</t>
  </si>
  <si>
    <t xml:space="preserve">    'não se aplica' : 1.00,</t>
  </si>
  <si>
    <t xml:space="preserve">} </t>
  </si>
  <si>
    <t xml:space="preserve">    'plana' : 1.1,</t>
  </si>
  <si>
    <t xml:space="preserve">    'ondulada': 1.00,</t>
  </si>
  <si>
    <t>plana</t>
  </si>
  <si>
    <t>ondulada</t>
  </si>
  <si>
    <t>montanhosa/acidentada</t>
  </si>
  <si>
    <t xml:space="preserve">    'montanhosa/acidentada': 0.80,</t>
  </si>
  <si>
    <t xml:space="preserve">}  </t>
  </si>
  <si>
    <t>Relevo</t>
  </si>
  <si>
    <t>Seca</t>
  </si>
  <si>
    <t>Alagada</t>
  </si>
  <si>
    <t xml:space="preserve">    'Seca': 1.00,</t>
  </si>
  <si>
    <t xml:space="preserve">    'Alagada': 0.60,</t>
  </si>
  <si>
    <t>Região inundável mas não atingida</t>
  </si>
  <si>
    <t>Região inundável mas atingida periodicamente</t>
  </si>
  <si>
    <t xml:space="preserve">    'Região inundável mas não atingida': 0.90,</t>
  </si>
  <si>
    <t xml:space="preserve">    'Região inundável mas atingida periodicamente': 0.70,</t>
  </si>
  <si>
    <t>dict_rel = {</t>
  </si>
  <si>
    <t>dict_apr = {</t>
  </si>
  <si>
    <t xml:space="preserve">    'Loteamento': 1.00,</t>
  </si>
  <si>
    <t xml:space="preserve">    'Indústria': 0.90,</t>
  </si>
  <si>
    <t xml:space="preserve">    'Culturas': 0.80,</t>
  </si>
  <si>
    <t>Loteamento</t>
  </si>
  <si>
    <t>Indústria</t>
  </si>
  <si>
    <t>Culturas</t>
  </si>
  <si>
    <t>dict_ace = {</t>
  </si>
  <si>
    <t xml:space="preserve">    'Ótima': 1.00,</t>
  </si>
  <si>
    <t xml:space="preserve">    'Muito boa': 0.95,</t>
  </si>
  <si>
    <t xml:space="preserve">    'Boa': 0.90,</t>
  </si>
  <si>
    <t xml:space="preserve">    'Desfavorável': 0.80,</t>
  </si>
  <si>
    <t xml:space="preserve">    'Má': 0.75,</t>
  </si>
  <si>
    <t xml:space="preserve">    'Péssima': 0.70,</t>
  </si>
  <si>
    <t>Ótima</t>
  </si>
  <si>
    <t>Muito boa</t>
  </si>
  <si>
    <t>Boa</t>
  </si>
  <si>
    <t>Desfavorável</t>
  </si>
  <si>
    <t>Má</t>
  </si>
  <si>
    <t>Péssima</t>
  </si>
  <si>
    <t>Acessibilidade</t>
  </si>
  <si>
    <t>Idade apar e conserv.</t>
  </si>
  <si>
    <t>FAC</t>
  </si>
  <si>
    <t>FAT</t>
  </si>
  <si>
    <t>FPE</t>
  </si>
  <si>
    <t>n</t>
  </si>
  <si>
    <t>Topográfica</t>
  </si>
  <si>
    <t>Aproveitamento</t>
  </si>
  <si>
    <t>Nº</t>
  </si>
  <si>
    <t>ENDEREÇO</t>
  </si>
  <si>
    <t>Inundável sazonal</t>
  </si>
  <si>
    <t>Inundável periódica</t>
  </si>
  <si>
    <t>Acidentada</t>
  </si>
  <si>
    <t>Ondulada</t>
  </si>
  <si>
    <t>Plana</t>
  </si>
  <si>
    <t>ANDAR</t>
  </si>
  <si>
    <t>Térreo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</si>
  <si>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</si>
  <si>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</si>
  <si>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</si>
  <si>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</si>
  <si>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</si>
  <si>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</si>
  <si>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</si>
  <si>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</si>
  <si>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</si>
  <si>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</si>
  <si>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</si>
  <si>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</si>
  <si>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</si>
  <si>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</si>
  <si>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</si>
  <si>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</si>
  <si>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</si>
  <si>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</si>
  <si>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</si>
  <si>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</si>
  <si>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SIM</t>
  </si>
  <si>
    <t>h1</t>
  </si>
  <si>
    <t>COEF</t>
  </si>
  <si>
    <t>AVAL</t>
  </si>
  <si>
    <t>acl. leve 5% e 30%</t>
  </si>
  <si>
    <t>dec._leve 5% e 30%</t>
  </si>
  <si>
    <t>acl._acent. &gt;30%</t>
  </si>
  <si>
    <t>dec._acent. &gt;30%</t>
  </si>
  <si>
    <t>baixo res</t>
  </si>
  <si>
    <t>alto res</t>
  </si>
  <si>
    <t>baixo com</t>
  </si>
  <si>
    <t>alto com</t>
  </si>
  <si>
    <t>id  de 6 e 10_novo</t>
  </si>
  <si>
    <t>id  de 6 e 10_bom</t>
  </si>
  <si>
    <t>id  de 11 e 30_novo</t>
  </si>
  <si>
    <t>id  de 11 e 30_bom</t>
  </si>
  <si>
    <t>id  de 31 e 50_novo</t>
  </si>
  <si>
    <t>id  de 31 e 50_bom</t>
  </si>
  <si>
    <t>Escolha as variáveis ---&gt;</t>
  </si>
  <si>
    <t>id&lt;5_ rep. imp.</t>
  </si>
  <si>
    <t>id&gt;50_ rep. imp.</t>
  </si>
  <si>
    <t>id&gt;50_ rep. simp.</t>
  </si>
  <si>
    <t>id&lt;5_rep. simp.</t>
  </si>
  <si>
    <t>id  de 6 e 10_rep. simp.</t>
  </si>
  <si>
    <t>id  de 6 e 10_rep. imp.</t>
  </si>
  <si>
    <t>id  de 11 e 30_rep. simp.</t>
  </si>
  <si>
    <t>id  de 11 e 30_rep. imp.</t>
  </si>
  <si>
    <t>id  de 31 e 50_rep. simp.</t>
  </si>
  <si>
    <t>id  de 31 e 50_rep. imp.</t>
  </si>
  <si>
    <t>coef</t>
  </si>
  <si>
    <t>Valor Crítico</t>
  </si>
  <si>
    <t>CRITÉRIO DE CHAUVENET</t>
  </si>
  <si>
    <t>Número de dados</t>
  </si>
  <si>
    <t>Média</t>
  </si>
  <si>
    <t>Valor máximo</t>
  </si>
  <si>
    <t>Valor mínimo</t>
  </si>
  <si>
    <t>Desvio padrão</t>
  </si>
  <si>
    <t>Coeficiente de variação</t>
  </si>
  <si>
    <t>Número de dados utilizados</t>
  </si>
  <si>
    <t>Média saneada</t>
  </si>
  <si>
    <t>Amplitude</t>
  </si>
  <si>
    <t>Amplitude percentual</t>
  </si>
  <si>
    <t>Valores Calculados</t>
  </si>
  <si>
    <t>tabela de t de student</t>
  </si>
  <si>
    <t>Graus de liberdade (n-1)</t>
  </si>
  <si>
    <t>t-valor crítico (conf. 80%)</t>
  </si>
  <si>
    <t>Limite infeiror IC</t>
  </si>
  <si>
    <t>Limite Supeiror IC</t>
  </si>
  <si>
    <t>Estes percentuais são frutos de estudos, porém o avaliador pode alterar os coeficientes conforme sua esperiência profissional.</t>
  </si>
  <si>
    <t>m²</t>
  </si>
  <si>
    <t xml:space="preserve">    Área avaliando (m²):</t>
  </si>
  <si>
    <t>Limite superior (1,15 * média)</t>
  </si>
  <si>
    <t>Limite inferior (0,85 * média)</t>
  </si>
  <si>
    <t>LI Campo de Arbítrio (-15%)</t>
  </si>
  <si>
    <t>LS Campo de Arbítrio (+15%)</t>
  </si>
  <si>
    <t>LI Intevalo de Confiança 80%</t>
  </si>
  <si>
    <t>LS Intevalo de Confiança 80%</t>
  </si>
  <si>
    <t>Valores Unitários (R$/m²)</t>
  </si>
  <si>
    <t>Médio estimado</t>
  </si>
  <si>
    <t>Valores Totais (R$/m²)</t>
  </si>
  <si>
    <t>Explicações</t>
  </si>
  <si>
    <t>Intervalo de confiança de 80%</t>
  </si>
  <si>
    <t>Campo de Arbítrio</t>
  </si>
  <si>
    <t>* É basicamente é uma margem de tolerância usada em avaliações.
* Essa margem é de ±15% em torno do valor estimado.
* Pode ser usado quando:
    *O modelo de cálculo não conseguiu considerar todas as variáveis importantes;
    *Faltam dados de mercado;
    *Não existem fatores de ajuste disponíveis;
    *Ou algumas variáveis não mostraram relevância estatística.
* A ideia é que essa margem de ±15% ajuda a compensar possíveis influências que ficaram de fora, desde que o avaliador justifique o uso.</t>
  </si>
  <si>
    <t>Sim</t>
  </si>
  <si>
    <t>* Ele mostra um intervalo de valores possíveis onde o verdadeiro valor médio provavelmente está.</t>
  </si>
  <si>
    <t>* No caso de um intervalo de confiança de 80% aplicado a um modelo, significa que, se o processo de amostragem e estimação fosse repetido muitas vezes, em 80 de cada 100 modelos estimados o intervalo conteria o valor verdadeiro do parâmetro.</t>
  </si>
  <si>
    <t>fal</t>
  </si>
  <si>
    <t>fac</t>
  </si>
  <si>
    <t>fat</t>
  </si>
  <si>
    <t>fpe</t>
  </si>
  <si>
    <t>ftp</t>
  </si>
  <si>
    <t>frv</t>
  </si>
  <si>
    <t>fsp</t>
  </si>
  <si>
    <t>fap</t>
  </si>
  <si>
    <t>fav</t>
  </si>
  <si>
    <t>fic</t>
  </si>
  <si>
    <t>fpd</t>
  </si>
  <si>
    <t>fgv</t>
  </si>
  <si>
    <t>fan</t>
  </si>
  <si>
    <t>fator final</t>
  </si>
  <si>
    <t>raz</t>
  </si>
  <si>
    <t>dif</t>
  </si>
  <si>
    <t>x_ac</t>
  </si>
  <si>
    <t>x_at</t>
  </si>
  <si>
    <t>Graus de Liberdade (n-1)</t>
  </si>
  <si>
    <t>fon</t>
  </si>
  <si>
    <t>Localização</t>
  </si>
  <si>
    <t>Área Construída</t>
  </si>
  <si>
    <t>Área Territorial</t>
  </si>
  <si>
    <t>Testada</t>
  </si>
  <si>
    <t>Prof. Equivalente</t>
  </si>
  <si>
    <t>Topografia</t>
  </si>
  <si>
    <t>Id. Apa. Conserva.</t>
  </si>
  <si>
    <t>Padrão Const.</t>
  </si>
  <si>
    <t>Vaga</t>
  </si>
  <si>
    <t>Valor</t>
  </si>
  <si>
    <t>Valor Unitário * fon</t>
  </si>
  <si>
    <t>z-score</t>
  </si>
  <si>
    <t>vc</t>
  </si>
  <si>
    <t>Status</t>
  </si>
  <si>
    <t>Valor Unitário</t>
  </si>
  <si>
    <t>NÃO</t>
  </si>
  <si>
    <t>Construída</t>
  </si>
  <si>
    <t>ABA</t>
  </si>
  <si>
    <t>SENHA</t>
  </si>
  <si>
    <t>Rua A</t>
  </si>
  <si>
    <t>Rua B, 761</t>
  </si>
  <si>
    <t>Rua B, 00</t>
  </si>
  <si>
    <t>Rua C, 161</t>
  </si>
  <si>
    <t>Rua D, 475</t>
  </si>
  <si>
    <t>Rua E, 698</t>
  </si>
  <si>
    <t>Rua F, 550</t>
  </si>
  <si>
    <t>Rua G, 66</t>
  </si>
  <si>
    <t>-----------------------------------------------------------------------------------</t>
  </si>
  <si>
    <t>Não</t>
  </si>
  <si>
    <t>Estatísticas após saneamento</t>
  </si>
  <si>
    <t>Valor Unitário hom (todos)</t>
  </si>
  <si>
    <t>Valor Unitário hom (s/ outliers)</t>
  </si>
  <si>
    <t>Cálculos</t>
  </si>
  <si>
    <t>calc</t>
  </si>
  <si>
    <t>Dcionários</t>
  </si>
  <si>
    <t>dict</t>
  </si>
  <si>
    <t>Rua Vinte Quatro De Outubro</t>
  </si>
  <si>
    <t>normal res</t>
  </si>
  <si>
    <t>popular res</t>
  </si>
  <si>
    <t>luxo res</t>
  </si>
  <si>
    <t>popular com</t>
  </si>
  <si>
    <t>normal com</t>
  </si>
  <si>
    <t>luxo com</t>
  </si>
  <si>
    <t>Andar Res</t>
  </si>
  <si>
    <t>Estatíticas iniciais com toda a amostra</t>
  </si>
  <si>
    <t>AV UM, 900</t>
  </si>
  <si>
    <t>R DOIS, 107</t>
  </si>
  <si>
    <t>R DOIS,  110</t>
  </si>
  <si>
    <t>R DOIS, 127</t>
  </si>
  <si>
    <t>R DOIS, 255</t>
  </si>
  <si>
    <t>R TRÊS, 80</t>
  </si>
  <si>
    <t>R TRÊS,  Ld 92</t>
  </si>
  <si>
    <t>R SETE, 570</t>
  </si>
  <si>
    <t>R QUATRO, 1100</t>
  </si>
  <si>
    <t>R QUATRO, 520</t>
  </si>
  <si>
    <t>R QUATRO, 930</t>
  </si>
  <si>
    <t>R QUATRO, 950</t>
  </si>
  <si>
    <t>R CINCO, 555</t>
  </si>
  <si>
    <t>R SEIS, 315</t>
  </si>
  <si>
    <t>R SEIS, 339</t>
  </si>
  <si>
    <t>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</si>
</sst>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_-;\-* #,##0.00_-;_-* \-??_-;_-@_-"/>
    <numFmt numFmtId="165" formatCode="_-* #,##0.000_-;\-* #,##0.000_-;_-* &quot;-&quot;??_-;_-@_-"/>
    <numFmt numFmtId="166" formatCode="0.0"/>
    <numFmt numFmtId="167" formatCode="0.000"/>
    <numFmt numFmtId="168" formatCode="_-* #,##0.000_-;\-* #,##0.000_-;_-* \-??_-;_-@_-"/>
    <numFmt numFmtId="169" formatCode="0.0%"/>
  </numFmts>
  <fonts count="2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</font>
    <font>
      <sz val="8"/>
      <name val="Calibri"/>
      <family val="2"/>
      <charset val="1"/>
    </font>
    <font>
      <sz val="8"/>
      <color theme="0"/>
      <name val="Calibri"/>
      <family val="2"/>
      <charset val="1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1"/>
      <color rgb="FF000000"/>
      <name val="Calibri"/>
      <family val="2"/>
      <charset val="1"/>
    </font>
    <font>
      <sz val="9"/>
      <color indexed="81"/>
      <name val="Segoe UI"/>
      <family val="2"/>
    </font>
    <font>
      <sz val="9"/>
      <color rgb="FF000000"/>
      <name val="Arial Narrow"/>
      <family val="2"/>
    </font>
    <font>
      <sz val="9"/>
      <name val="Arial Narrow"/>
      <family val="2"/>
    </font>
    <font>
      <b/>
      <sz val="9"/>
      <color indexed="81"/>
      <name val="Segoe UI"/>
      <family val="2"/>
    </font>
    <font>
      <b/>
      <sz val="8"/>
      <name val="Calibri"/>
      <family val="2"/>
    </font>
    <font>
      <sz val="8"/>
      <name val="Arial Narrow"/>
      <family val="2"/>
    </font>
    <font>
      <sz val="8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9"/>
      <color rgb="FF000000"/>
      <name val="Arial Narrow"/>
      <family val="2"/>
    </font>
    <font>
      <sz val="10"/>
      <name val="Open Sans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Arial Narrow"/>
      <family val="2"/>
    </font>
    <font>
      <b/>
      <sz val="12"/>
      <color indexed="81"/>
      <name val="Segoe UI"/>
      <family val="2"/>
    </font>
    <font>
      <sz val="12"/>
      <color indexed="81"/>
      <name val="Calibri"/>
      <family val="2"/>
      <scheme val="minor"/>
    </font>
    <font>
      <b/>
      <sz val="12"/>
      <name val="Calibri"/>
      <family val="2"/>
    </font>
    <font>
      <b/>
      <sz val="12"/>
      <color indexed="81"/>
      <name val="Calibri"/>
      <family val="2"/>
      <scheme val="minor"/>
    </font>
    <font>
      <b/>
      <sz val="12"/>
      <color rgb="FF002060"/>
      <name val="Calibri"/>
      <family val="2"/>
    </font>
    <font>
      <b/>
      <sz val="10"/>
      <color theme="0" tint="-0.3499862666707357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164" fontId="2" fillId="0" borderId="0" applyBorder="0" applyProtection="0"/>
    <xf numFmtId="0" fontId="1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7">
    <xf numFmtId="0" fontId="0" fillId="0" borderId="0" xfId="0"/>
    <xf numFmtId="0" fontId="5" fillId="2" borderId="0" xfId="0" applyFont="1" applyFill="1"/>
    <xf numFmtId="0" fontId="5" fillId="2" borderId="0" xfId="0" quotePrefix="1" applyFont="1" applyFill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65" fontId="10" fillId="5" borderId="6" xfId="1" applyNumberFormat="1" applyFont="1" applyFill="1" applyBorder="1" applyAlignment="1" applyProtection="1">
      <alignment horizontal="center" vertical="center" wrapText="1"/>
      <protection locked="0"/>
    </xf>
    <xf numFmtId="0" fontId="10" fillId="5" borderId="20" xfId="0" applyFont="1" applyFill="1" applyBorder="1" applyAlignment="1" applyProtection="1">
      <alignment horizontal="center" vertical="center" wrapText="1"/>
      <protection locked="0"/>
    </xf>
    <xf numFmtId="164" fontId="10" fillId="5" borderId="20" xfId="1" applyFont="1" applyFill="1" applyBorder="1" applyAlignment="1" applyProtection="1">
      <alignment horizontal="center" vertical="center" wrapText="1"/>
      <protection locked="0"/>
    </xf>
    <xf numFmtId="165" fontId="10" fillId="5" borderId="2" xfId="1" applyNumberFormat="1" applyFont="1" applyFill="1" applyBorder="1" applyAlignment="1" applyProtection="1">
      <alignment horizontal="center" vertical="center" wrapText="1"/>
      <protection locked="0"/>
    </xf>
    <xf numFmtId="0" fontId="10" fillId="5" borderId="22" xfId="0" applyFont="1" applyFill="1" applyBorder="1" applyAlignment="1" applyProtection="1">
      <alignment horizontal="center" vertical="center" wrapText="1"/>
      <protection locked="0"/>
    </xf>
    <xf numFmtId="164" fontId="10" fillId="5" borderId="22" xfId="1" applyFont="1" applyFill="1" applyBorder="1" applyAlignment="1" applyProtection="1">
      <alignment horizontal="center" vertical="center" wrapText="1"/>
      <protection locked="0"/>
    </xf>
    <xf numFmtId="165" fontId="10" fillId="5" borderId="8" xfId="1" applyNumberFormat="1" applyFont="1" applyFill="1" applyBorder="1" applyAlignment="1" applyProtection="1">
      <alignment horizontal="center" vertical="center" wrapText="1"/>
      <protection locked="0"/>
    </xf>
    <xf numFmtId="0" fontId="10" fillId="5" borderId="24" xfId="0" applyFont="1" applyFill="1" applyBorder="1" applyAlignment="1" applyProtection="1">
      <alignment horizontal="center" vertical="center" wrapText="1"/>
      <protection locked="0"/>
    </xf>
    <xf numFmtId="164" fontId="10" fillId="5" borderId="24" xfId="1" applyFont="1" applyFill="1" applyBorder="1" applyAlignment="1" applyProtection="1">
      <alignment horizontal="center" vertical="center" wrapText="1"/>
      <protection locked="0"/>
    </xf>
    <xf numFmtId="165" fontId="10" fillId="5" borderId="15" xfId="1" applyNumberFormat="1" applyFont="1" applyFill="1" applyBorder="1" applyAlignment="1" applyProtection="1">
      <alignment horizontal="center" vertical="center" wrapText="1"/>
      <protection locked="0"/>
    </xf>
    <xf numFmtId="164" fontId="10" fillId="5" borderId="26" xfId="1" applyFont="1" applyFill="1" applyBorder="1" applyAlignment="1" applyProtection="1">
      <alignment horizontal="center" vertical="center" wrapText="1"/>
      <protection locked="0"/>
    </xf>
    <xf numFmtId="0" fontId="10" fillId="5" borderId="26" xfId="0" applyFont="1" applyFill="1" applyBorder="1" applyAlignment="1" applyProtection="1">
      <alignment horizontal="center" vertical="center" wrapText="1"/>
      <protection locked="0"/>
    </xf>
    <xf numFmtId="0" fontId="10" fillId="5" borderId="13" xfId="0" applyFont="1" applyFill="1" applyBorder="1" applyAlignment="1" applyProtection="1">
      <alignment horizontal="center" vertical="center" wrapText="1"/>
      <protection locked="0"/>
    </xf>
    <xf numFmtId="164" fontId="10" fillId="5" borderId="7" xfId="1" applyFont="1" applyFill="1" applyBorder="1" applyAlignment="1" applyProtection="1">
      <alignment horizontal="center" vertical="center" wrapText="1"/>
      <protection locked="0"/>
    </xf>
    <xf numFmtId="0" fontId="11" fillId="5" borderId="12" xfId="0" applyFont="1" applyFill="1" applyBorder="1" applyAlignment="1" applyProtection="1">
      <alignment horizontal="center" vertical="center" wrapText="1"/>
      <protection locked="0"/>
    </xf>
    <xf numFmtId="164" fontId="10" fillId="5" borderId="3" xfId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2" fontId="0" fillId="0" borderId="1" xfId="0" applyNumberFormat="1" applyBorder="1" applyAlignment="1">
      <alignment vertical="center" wrapText="1"/>
    </xf>
    <xf numFmtId="9" fontId="1" fillId="0" borderId="1" xfId="2" applyNumberFormat="1" applyBorder="1"/>
    <xf numFmtId="0" fontId="19" fillId="0" borderId="1" xfId="2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3" fillId="0" borderId="29" xfId="1" applyNumberFormat="1" applyFont="1" applyBorder="1" applyAlignment="1" applyProtection="1">
      <alignment horizontal="center"/>
    </xf>
    <xf numFmtId="0" fontId="3" fillId="0" borderId="0" xfId="0" applyFont="1"/>
    <xf numFmtId="0" fontId="6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25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3" fillId="3" borderId="0" xfId="0" applyFont="1" applyFill="1"/>
    <xf numFmtId="2" fontId="25" fillId="2" borderId="1" xfId="0" applyNumberFormat="1" applyFont="1" applyFill="1" applyBorder="1" applyAlignment="1">
      <alignment horizontal="center"/>
    </xf>
    <xf numFmtId="166" fontId="25" fillId="2" borderId="1" xfId="0" applyNumberFormat="1" applyFont="1" applyFill="1" applyBorder="1" applyAlignment="1">
      <alignment horizontal="center"/>
    </xf>
    <xf numFmtId="166" fontId="25" fillId="3" borderId="0" xfId="0" applyNumberFormat="1" applyFont="1" applyFill="1"/>
    <xf numFmtId="0" fontId="13" fillId="3" borderId="0" xfId="0" applyFont="1" applyFill="1"/>
    <xf numFmtId="2" fontId="13" fillId="2" borderId="12" xfId="0" applyNumberFormat="1" applyFont="1" applyFill="1" applyBorder="1" applyAlignment="1">
      <alignment horizontal="center"/>
    </xf>
    <xf numFmtId="0" fontId="25" fillId="2" borderId="29" xfId="0" applyFont="1" applyFill="1" applyBorder="1" applyAlignment="1">
      <alignment horizontal="center" wrapText="1"/>
    </xf>
    <xf numFmtId="0" fontId="10" fillId="3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vertical="center" wrapText="1"/>
    </xf>
    <xf numFmtId="164" fontId="10" fillId="3" borderId="21" xfId="1" applyFont="1" applyFill="1" applyBorder="1" applyAlignment="1" applyProtection="1">
      <alignment horizontal="center" vertical="center" wrapText="1"/>
    </xf>
    <xf numFmtId="2" fontId="11" fillId="3" borderId="22" xfId="0" applyNumberFormat="1" applyFont="1" applyFill="1" applyBorder="1" applyAlignment="1">
      <alignment horizontal="center" vertical="center" wrapText="1"/>
    </xf>
    <xf numFmtId="2" fontId="11" fillId="3" borderId="21" xfId="0" applyNumberFormat="1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164" fontId="10" fillId="3" borderId="12" xfId="1" applyFont="1" applyFill="1" applyBorder="1" applyAlignment="1" applyProtection="1">
      <alignment horizontal="center" vertical="center" wrapText="1"/>
    </xf>
    <xf numFmtId="2" fontId="14" fillId="3" borderId="1" xfId="0" applyNumberFormat="1" applyFont="1" applyFill="1" applyBorder="1" applyAlignment="1">
      <alignment horizontal="center" vertical="center" wrapText="1"/>
    </xf>
    <xf numFmtId="166" fontId="14" fillId="3" borderId="1" xfId="0" applyNumberFormat="1" applyFont="1" applyFill="1" applyBorder="1" applyAlignment="1">
      <alignment horizontal="center" vertical="center" wrapText="1"/>
    </xf>
    <xf numFmtId="166" fontId="14" fillId="3" borderId="0" xfId="0" applyNumberFormat="1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67" fontId="11" fillId="3" borderId="29" xfId="0" applyNumberFormat="1" applyFont="1" applyFill="1" applyBorder="1" applyAlignment="1">
      <alignment horizontal="center" vertical="center" wrapText="1"/>
    </xf>
    <xf numFmtId="167" fontId="18" fillId="3" borderId="29" xfId="0" applyNumberFormat="1" applyFont="1" applyFill="1" applyBorder="1" applyAlignment="1">
      <alignment horizontal="center" vertical="center" wrapText="1"/>
    </xf>
    <xf numFmtId="164" fontId="18" fillId="3" borderId="1" xfId="1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3" fontId="10" fillId="0" borderId="0" xfId="0" applyNumberFormat="1" applyFont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164" fontId="10" fillId="3" borderId="23" xfId="1" applyFont="1" applyFill="1" applyBorder="1" applyAlignment="1" applyProtection="1">
      <alignment horizontal="center" vertical="center" wrapText="1"/>
    </xf>
    <xf numFmtId="2" fontId="11" fillId="3" borderId="23" xfId="0" applyNumberFormat="1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164" fontId="10" fillId="3" borderId="25" xfId="1" applyFont="1" applyFill="1" applyBorder="1" applyAlignment="1" applyProtection="1">
      <alignment horizontal="center" vertical="center" wrapText="1"/>
    </xf>
    <xf numFmtId="2" fontId="11" fillId="3" borderId="24" xfId="0" applyNumberFormat="1" applyFont="1" applyFill="1" applyBorder="1" applyAlignment="1">
      <alignment horizontal="center" vertical="center" wrapText="1"/>
    </xf>
    <xf numFmtId="2" fontId="11" fillId="3" borderId="25" xfId="0" applyNumberFormat="1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164" fontId="10" fillId="3" borderId="14" xfId="1" applyFont="1" applyFill="1" applyBorder="1" applyAlignment="1" applyProtection="1">
      <alignment horizontal="center" vertical="center" wrapText="1"/>
    </xf>
    <xf numFmtId="2" fontId="11" fillId="3" borderId="26" xfId="0" applyNumberFormat="1" applyFont="1" applyFill="1" applyBorder="1" applyAlignment="1">
      <alignment horizontal="center" vertical="center" wrapText="1"/>
    </xf>
    <xf numFmtId="2" fontId="11" fillId="3" borderId="14" xfId="0" applyNumberFormat="1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2" fontId="15" fillId="0" borderId="0" xfId="0" applyNumberFormat="1" applyFont="1"/>
    <xf numFmtId="166" fontId="15" fillId="0" borderId="0" xfId="0" applyNumberFormat="1" applyFont="1"/>
    <xf numFmtId="0" fontId="15" fillId="0" borderId="0" xfId="0" applyFont="1"/>
    <xf numFmtId="0" fontId="21" fillId="0" borderId="0" xfId="0" applyFont="1"/>
    <xf numFmtId="0" fontId="10" fillId="5" borderId="30" xfId="0" applyFont="1" applyFill="1" applyBorder="1" applyAlignment="1" applyProtection="1">
      <alignment horizontal="center" vertical="center" wrapText="1"/>
      <protection locked="0"/>
    </xf>
    <xf numFmtId="0" fontId="17" fillId="2" borderId="13" xfId="0" applyFont="1" applyFill="1" applyBorder="1"/>
    <xf numFmtId="0" fontId="3" fillId="2" borderId="38" xfId="0" applyFont="1" applyFill="1" applyBorder="1"/>
    <xf numFmtId="164" fontId="2" fillId="2" borderId="38" xfId="1" applyFill="1" applyBorder="1" applyProtection="1"/>
    <xf numFmtId="0" fontId="3" fillId="2" borderId="39" xfId="0" applyFont="1" applyFill="1" applyBorder="1"/>
    <xf numFmtId="0" fontId="17" fillId="3" borderId="34" xfId="0" applyFont="1" applyFill="1" applyBorder="1"/>
    <xf numFmtId="0" fontId="16" fillId="3" borderId="0" xfId="0" applyFont="1" applyFill="1"/>
    <xf numFmtId="164" fontId="2" fillId="3" borderId="0" xfId="1" applyFill="1" applyBorder="1" applyProtection="1"/>
    <xf numFmtId="164" fontId="2" fillId="3" borderId="35" xfId="1" applyFill="1" applyBorder="1" applyProtection="1"/>
    <xf numFmtId="0" fontId="16" fillId="3" borderId="34" xfId="0" quotePrefix="1" applyFont="1" applyFill="1" applyBorder="1"/>
    <xf numFmtId="164" fontId="16" fillId="3" borderId="0" xfId="1" applyFont="1" applyFill="1" applyBorder="1" applyProtection="1"/>
    <xf numFmtId="0" fontId="17" fillId="3" borderId="34" xfId="0" quotePrefix="1" applyFont="1" applyFill="1" applyBorder="1"/>
    <xf numFmtId="0" fontId="3" fillId="2" borderId="39" xfId="0" applyFont="1" applyFill="1" applyBorder="1" applyAlignment="1">
      <alignment horizontal="center"/>
    </xf>
    <xf numFmtId="0" fontId="16" fillId="2" borderId="39" xfId="0" applyFont="1" applyFill="1" applyBorder="1" applyAlignment="1">
      <alignment horizontal="center"/>
    </xf>
    <xf numFmtId="0" fontId="17" fillId="3" borderId="31" xfId="0" quotePrefix="1" applyFont="1" applyFill="1" applyBorder="1"/>
    <xf numFmtId="0" fontId="3" fillId="3" borderId="32" xfId="0" applyFont="1" applyFill="1" applyBorder="1"/>
    <xf numFmtId="0" fontId="3" fillId="3" borderId="33" xfId="0" applyFont="1" applyFill="1" applyBorder="1"/>
    <xf numFmtId="0" fontId="20" fillId="3" borderId="0" xfId="0" quotePrefix="1" applyFont="1" applyFill="1" applyAlignment="1">
      <alignment vertical="center" wrapText="1"/>
    </xf>
    <xf numFmtId="0" fontId="20" fillId="3" borderId="35" xfId="0" quotePrefix="1" applyFont="1" applyFill="1" applyBorder="1" applyAlignment="1">
      <alignment vertical="center" wrapText="1"/>
    </xf>
    <xf numFmtId="164" fontId="2" fillId="2" borderId="39" xfId="1" applyFill="1" applyBorder="1" applyProtection="1"/>
    <xf numFmtId="0" fontId="3" fillId="0" borderId="4" xfId="0" applyFont="1" applyBorder="1"/>
    <xf numFmtId="0" fontId="3" fillId="0" borderId="0" xfId="0" applyFont="1" applyAlignment="1">
      <alignment horizontal="left"/>
    </xf>
    <xf numFmtId="2" fontId="15" fillId="0" borderId="0" xfId="0" applyNumberFormat="1" applyFont="1" applyAlignment="1">
      <alignment horizontal="left"/>
    </xf>
    <xf numFmtId="166" fontId="15" fillId="0" borderId="0" xfId="0" applyNumberFormat="1" applyFont="1" applyAlignment="1">
      <alignment horizontal="left"/>
    </xf>
    <xf numFmtId="0" fontId="3" fillId="3" borderId="31" xfId="0" applyFont="1" applyFill="1" applyBorder="1"/>
    <xf numFmtId="0" fontId="17" fillId="3" borderId="32" xfId="0" applyFont="1" applyFill="1" applyBorder="1" applyAlignment="1">
      <alignment horizontal="center"/>
    </xf>
    <xf numFmtId="0" fontId="3" fillId="2" borderId="32" xfId="0" applyFont="1" applyFill="1" applyBorder="1"/>
    <xf numFmtId="0" fontId="7" fillId="5" borderId="40" xfId="0" applyFont="1" applyFill="1" applyBorder="1" applyProtection="1">
      <protection locked="0"/>
    </xf>
    <xf numFmtId="166" fontId="13" fillId="3" borderId="32" xfId="0" applyNumberFormat="1" applyFont="1" applyFill="1" applyBorder="1"/>
    <xf numFmtId="0" fontId="13" fillId="3" borderId="32" xfId="0" applyFont="1" applyFill="1" applyBorder="1"/>
    <xf numFmtId="0" fontId="21" fillId="3" borderId="33" xfId="0" applyFont="1" applyFill="1" applyBorder="1"/>
    <xf numFmtId="0" fontId="6" fillId="2" borderId="22" xfId="0" applyFont="1" applyFill="1" applyBorder="1" applyAlignment="1">
      <alignment horizontal="left" wrapText="1"/>
    </xf>
    <xf numFmtId="0" fontId="21" fillId="3" borderId="35" xfId="0" applyFont="1" applyFill="1" applyBorder="1"/>
    <xf numFmtId="0" fontId="10" fillId="5" borderId="20" xfId="1" applyNumberFormat="1" applyFont="1" applyFill="1" applyBorder="1" applyAlignment="1" applyProtection="1">
      <alignment horizontal="center" vertical="center" wrapText="1"/>
      <protection locked="0"/>
    </xf>
    <xf numFmtId="0" fontId="22" fillId="3" borderId="23" xfId="0" applyFont="1" applyFill="1" applyBorder="1" applyAlignment="1" applyProtection="1">
      <alignment horizontal="center" vertical="center" wrapText="1"/>
      <protection locked="0"/>
    </xf>
    <xf numFmtId="0" fontId="10" fillId="5" borderId="22" xfId="1" applyNumberFormat="1" applyFont="1" applyFill="1" applyBorder="1" applyAlignment="1" applyProtection="1">
      <alignment horizontal="center" vertical="center" wrapText="1"/>
      <protection locked="0"/>
    </xf>
    <xf numFmtId="0" fontId="10" fillId="5" borderId="30" xfId="1" applyNumberFormat="1" applyFont="1" applyFill="1" applyBorder="1" applyAlignment="1" applyProtection="1">
      <alignment horizontal="center" vertical="center" wrapText="1"/>
      <protection locked="0"/>
    </xf>
    <xf numFmtId="0" fontId="10" fillId="3" borderId="28" xfId="0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2" fontId="14" fillId="3" borderId="28" xfId="0" applyNumberFormat="1" applyFont="1" applyFill="1" applyBorder="1" applyAlignment="1">
      <alignment horizontal="center" vertical="center" wrapText="1"/>
    </xf>
    <xf numFmtId="166" fontId="14" fillId="3" borderId="28" xfId="0" applyNumberFormat="1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43" xfId="0" applyFont="1" applyFill="1" applyBorder="1" applyAlignment="1">
      <alignment horizontal="center" vertical="center" wrapText="1"/>
    </xf>
    <xf numFmtId="164" fontId="18" fillId="3" borderId="43" xfId="1" applyFont="1" applyFill="1" applyBorder="1" applyAlignment="1" applyProtection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16" fillId="3" borderId="34" xfId="0" applyFont="1" applyFill="1" applyBorder="1"/>
    <xf numFmtId="168" fontId="16" fillId="3" borderId="35" xfId="0" applyNumberFormat="1" applyFont="1" applyFill="1" applyBorder="1" applyAlignment="1">
      <alignment horizontal="center"/>
    </xf>
    <xf numFmtId="0" fontId="16" fillId="3" borderId="36" xfId="0" applyFont="1" applyFill="1" applyBorder="1"/>
    <xf numFmtId="10" fontId="16" fillId="3" borderId="37" xfId="4" applyNumberFormat="1" applyFont="1" applyFill="1" applyBorder="1" applyAlignment="1" applyProtection="1">
      <alignment horizontal="right"/>
    </xf>
    <xf numFmtId="0" fontId="16" fillId="3" borderId="35" xfId="0" applyFont="1" applyFill="1" applyBorder="1"/>
    <xf numFmtId="164" fontId="16" fillId="3" borderId="35" xfId="0" applyNumberFormat="1" applyFont="1" applyFill="1" applyBorder="1"/>
    <xf numFmtId="164" fontId="16" fillId="3" borderId="35" xfId="0" applyNumberFormat="1" applyFont="1" applyFill="1" applyBorder="1" applyAlignment="1">
      <alignment horizontal="center"/>
    </xf>
    <xf numFmtId="164" fontId="18" fillId="3" borderId="42" xfId="1" applyFont="1" applyFill="1" applyBorder="1" applyAlignment="1" applyProtection="1">
      <alignment vertical="center" wrapText="1"/>
    </xf>
    <xf numFmtId="167" fontId="0" fillId="0" borderId="11" xfId="0" applyNumberFormat="1" applyBorder="1" applyAlignment="1">
      <alignment vertical="center" wrapText="1"/>
    </xf>
    <xf numFmtId="167" fontId="0" fillId="0" borderId="0" xfId="0" applyNumberFormat="1" applyAlignment="1">
      <alignment vertical="center" wrapText="1"/>
    </xf>
    <xf numFmtId="167" fontId="0" fillId="0" borderId="10" xfId="0" applyNumberFormat="1" applyBorder="1" applyAlignment="1">
      <alignment vertical="center" wrapText="1"/>
    </xf>
    <xf numFmtId="167" fontId="0" fillId="0" borderId="9" xfId="0" applyNumberFormat="1" applyBorder="1" applyAlignment="1">
      <alignment vertical="center" wrapText="1"/>
    </xf>
    <xf numFmtId="167" fontId="0" fillId="0" borderId="5" xfId="0" applyNumberFormat="1" applyBorder="1" applyAlignment="1">
      <alignment vertical="center" wrapText="1"/>
    </xf>
    <xf numFmtId="167" fontId="0" fillId="0" borderId="7" xfId="0" applyNumberFormat="1" applyBorder="1" applyAlignment="1">
      <alignment vertical="center" wrapText="1"/>
    </xf>
    <xf numFmtId="0" fontId="7" fillId="2" borderId="18" xfId="0" applyFont="1" applyFill="1" applyBorder="1" applyAlignment="1">
      <alignment wrapText="1"/>
    </xf>
    <xf numFmtId="0" fontId="28" fillId="2" borderId="19" xfId="0" applyFont="1" applyFill="1" applyBorder="1" applyAlignment="1">
      <alignment wrapText="1"/>
    </xf>
    <xf numFmtId="0" fontId="20" fillId="3" borderId="34" xfId="0" quotePrefix="1" applyFont="1" applyFill="1" applyBorder="1" applyAlignment="1">
      <alignment horizontal="left" vertical="center" wrapText="1"/>
    </xf>
    <xf numFmtId="0" fontId="20" fillId="3" borderId="0" xfId="0" quotePrefix="1" applyFont="1" applyFill="1" applyAlignment="1">
      <alignment horizontal="left" vertical="center" wrapText="1"/>
    </xf>
    <xf numFmtId="0" fontId="20" fillId="3" borderId="35" xfId="0" quotePrefix="1" applyFont="1" applyFill="1" applyBorder="1" applyAlignment="1">
      <alignment horizontal="left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37" xfId="0" applyFont="1" applyFill="1" applyBorder="1" applyAlignment="1">
      <alignment horizontal="center" vertical="center" wrapText="1"/>
    </xf>
    <xf numFmtId="0" fontId="16" fillId="3" borderId="36" xfId="0" applyFont="1" applyFill="1" applyBorder="1" applyAlignment="1">
      <alignment horizontal="left"/>
    </xf>
    <xf numFmtId="0" fontId="16" fillId="3" borderId="28" xfId="0" applyFont="1" applyFill="1" applyBorder="1" applyAlignment="1">
      <alignment horizontal="left"/>
    </xf>
    <xf numFmtId="164" fontId="27" fillId="3" borderId="28" xfId="1" applyFont="1" applyFill="1" applyBorder="1" applyAlignment="1" applyProtection="1">
      <alignment horizontal="center"/>
    </xf>
    <xf numFmtId="169" fontId="2" fillId="3" borderId="28" xfId="4" applyNumberFormat="1" applyFill="1" applyBorder="1" applyAlignment="1" applyProtection="1">
      <alignment horizontal="center"/>
    </xf>
    <xf numFmtId="169" fontId="2" fillId="3" borderId="37" xfId="4" applyNumberFormat="1" applyFill="1" applyBorder="1" applyAlignment="1" applyProtection="1">
      <alignment horizontal="center"/>
    </xf>
    <xf numFmtId="0" fontId="16" fillId="3" borderId="34" xfId="0" applyFont="1" applyFill="1" applyBorder="1" applyAlignment="1">
      <alignment horizontal="left"/>
    </xf>
    <xf numFmtId="0" fontId="16" fillId="3" borderId="0" xfId="0" applyFont="1" applyFill="1" applyAlignment="1">
      <alignment horizontal="left"/>
    </xf>
    <xf numFmtId="164" fontId="27" fillId="3" borderId="0" xfId="1" applyFont="1" applyFill="1" applyBorder="1" applyAlignment="1" applyProtection="1">
      <alignment horizontal="center"/>
    </xf>
    <xf numFmtId="169" fontId="2" fillId="3" borderId="0" xfId="4" applyNumberFormat="1" applyFill="1" applyBorder="1" applyAlignment="1" applyProtection="1">
      <alignment horizontal="center"/>
    </xf>
    <xf numFmtId="169" fontId="2" fillId="3" borderId="35" xfId="4" applyNumberFormat="1" applyFill="1" applyBorder="1" applyAlignment="1" applyProtection="1">
      <alignment horizontal="center"/>
    </xf>
    <xf numFmtId="164" fontId="16" fillId="3" borderId="0" xfId="1" applyFont="1" applyFill="1" applyBorder="1" applyAlignment="1" applyProtection="1">
      <alignment horizontal="center"/>
    </xf>
    <xf numFmtId="0" fontId="16" fillId="0" borderId="16" xfId="1" applyNumberFormat="1" applyFont="1" applyBorder="1" applyAlignment="1" applyProtection="1">
      <alignment horizontal="center"/>
      <protection locked="0"/>
    </xf>
    <xf numFmtId="0" fontId="16" fillId="0" borderId="17" xfId="1" applyNumberFormat="1" applyFont="1" applyBorder="1" applyAlignment="1" applyProtection="1">
      <alignment horizontal="center"/>
      <protection locked="0"/>
    </xf>
    <xf numFmtId="2" fontId="13" fillId="2" borderId="41" xfId="0" applyNumberFormat="1" applyFont="1" applyFill="1" applyBorder="1" applyAlignment="1">
      <alignment horizontal="center"/>
    </xf>
    <xf numFmtId="0" fontId="7" fillId="2" borderId="22" xfId="0" applyFont="1" applyFill="1" applyBorder="1" applyAlignment="1">
      <alignment wrapText="1"/>
    </xf>
    <xf numFmtId="0" fontId="7" fillId="2" borderId="23" xfId="0" applyFont="1" applyFill="1" applyBorder="1" applyAlignment="1">
      <alignment wrapText="1"/>
    </xf>
    <xf numFmtId="0" fontId="7" fillId="2" borderId="18" xfId="0" applyFont="1" applyFill="1" applyBorder="1" applyAlignment="1">
      <alignment wrapText="1"/>
    </xf>
    <xf numFmtId="0" fontId="7" fillId="2" borderId="19" xfId="0" applyFont="1" applyFill="1" applyBorder="1" applyAlignment="1">
      <alignment wrapText="1"/>
    </xf>
    <xf numFmtId="0" fontId="16" fillId="4" borderId="16" xfId="1" applyNumberFormat="1" applyFont="1" applyFill="1" applyBorder="1" applyAlignment="1" applyProtection="1">
      <alignment horizontal="center"/>
      <protection locked="0"/>
    </xf>
    <xf numFmtId="0" fontId="16" fillId="4" borderId="17" xfId="1" applyNumberFormat="1" applyFont="1" applyFill="1" applyBorder="1" applyAlignment="1" applyProtection="1">
      <alignment horizontal="center"/>
      <protection locked="0"/>
    </xf>
    <xf numFmtId="2" fontId="13" fillId="2" borderId="40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00000000-0005-0000-0000-000001000000}"/>
    <cellStyle name="Porcentagem" xfId="4" builtinId="5"/>
    <cellStyle name="Vírgula" xfId="1" builtinId="3"/>
    <cellStyle name="Vírgula 2" xfId="3" xr:uid="{00000000-0005-0000-0000-000004000000}"/>
  </cellStyles>
  <dxfs count="60">
    <dxf>
      <font>
        <b/>
        <i val="0"/>
        <color theme="9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C00000"/>
      </font>
    </dxf>
    <dxf>
      <font>
        <b/>
        <i val="0"/>
        <color theme="9" tint="-0.24994659260841701"/>
      </font>
      <fill>
        <patternFill>
          <bgColor theme="0" tint="-0.24994659260841701"/>
        </patternFill>
      </fill>
    </dxf>
    <dxf>
      <font>
        <b/>
        <i val="0"/>
        <color rgb="FFC00000"/>
      </font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9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theme="9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C00000"/>
      </font>
    </dxf>
    <dxf>
      <font>
        <b/>
        <i val="0"/>
        <color theme="9" tint="-0.24994659260841701"/>
      </font>
      <fill>
        <patternFill>
          <bgColor theme="0" tint="-0.24994659260841701"/>
        </patternFill>
      </fill>
    </dxf>
    <dxf>
      <font>
        <b/>
        <i val="0"/>
        <color rgb="FFC00000"/>
      </font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9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theme="9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C00000"/>
      </font>
    </dxf>
    <dxf>
      <font>
        <b/>
        <i val="0"/>
        <color theme="9" tint="-0.24994659260841701"/>
      </font>
      <fill>
        <patternFill>
          <bgColor theme="0" tint="-0.24994659260841701"/>
        </patternFill>
      </fill>
    </dxf>
    <dxf>
      <font>
        <b/>
        <i val="0"/>
        <color rgb="FFC00000"/>
      </font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9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E9EE-BFF5-4433-9222-4FA5B2163F4F}">
  <dimension ref="A1:CJ24"/>
  <sheetViews>
    <sheetView showGridLines="0" tabSelected="1" zoomScaleNormal="100" workbookViewId="0">
      <selection activeCell="CE14" sqref="CE14:CJ16"/>
    </sheetView>
  </sheetViews>
  <sheetFormatPr defaultRowHeight="12.75" outlineLevelCol="1" x14ac:dyDescent="0.2"/>
  <cols>
    <col min="1" max="1" width="5.5703125" style="35" customWidth="1"/>
    <col min="2" max="2" width="29.5703125" style="35" customWidth="1"/>
    <col min="3" max="3" width="11.28515625" style="78" customWidth="1" outlineLevel="1"/>
    <col min="4" max="4" width="5.7109375" style="78" customWidth="1" outlineLevel="1"/>
    <col min="5" max="5" width="11.28515625" style="35" customWidth="1" outlineLevel="1"/>
    <col min="6" max="6" width="5.7109375" style="35" customWidth="1" outlineLevel="1"/>
    <col min="7" max="7" width="11.28515625" style="35" customWidth="1" outlineLevel="1"/>
    <col min="8" max="8" width="5.7109375" style="35" customWidth="1" outlineLevel="1"/>
    <col min="9" max="9" width="11.28515625" style="35" customWidth="1" outlineLevel="1"/>
    <col min="10" max="10" width="5.7109375" style="35" customWidth="1" outlineLevel="1"/>
    <col min="11" max="11" width="11.28515625" style="35" customWidth="1" outlineLevel="1"/>
    <col min="12" max="12" width="5.7109375" style="35" customWidth="1" outlineLevel="1"/>
    <col min="13" max="13" width="11.28515625" style="35" customWidth="1" outlineLevel="1"/>
    <col min="14" max="14" width="5.7109375" style="35" customWidth="1" outlineLevel="1"/>
    <col min="15" max="15" width="11.28515625" style="35" customWidth="1" outlineLevel="1"/>
    <col min="16" max="16" width="5.7109375" style="35" customWidth="1" outlineLevel="1"/>
    <col min="17" max="17" width="11.28515625" style="35" customWidth="1" outlineLevel="1"/>
    <col min="18" max="18" width="5.7109375" style="35" customWidth="1" outlineLevel="1"/>
    <col min="19" max="19" width="11.28515625" style="35" customWidth="1" outlineLevel="1"/>
    <col min="20" max="20" width="5.7109375" style="35" customWidth="1" outlineLevel="1"/>
    <col min="21" max="21" width="11.28515625" style="35" customWidth="1" outlineLevel="1"/>
    <col min="22" max="22" width="5.7109375" style="35" customWidth="1" outlineLevel="1"/>
    <col min="23" max="23" width="11.28515625" style="35" customWidth="1" outlineLevel="1"/>
    <col min="24" max="24" width="5.7109375" style="35" customWidth="1" outlineLevel="1"/>
    <col min="25" max="25" width="11.28515625" style="35" customWidth="1" outlineLevel="1"/>
    <col min="26" max="26" width="5.7109375" style="35" customWidth="1" outlineLevel="1"/>
    <col min="27" max="27" width="11.28515625" style="35" customWidth="1" outlineLevel="1"/>
    <col min="28" max="28" width="5.7109375" style="35" customWidth="1" outlineLevel="1"/>
    <col min="29" max="29" width="11.28515625" style="35" customWidth="1" outlineLevel="1"/>
    <col min="30" max="30" width="5.7109375" style="35" customWidth="1" outlineLevel="1"/>
    <col min="31" max="32" width="15.140625" style="35" customWidth="1" outlineLevel="1"/>
    <col min="33" max="33" width="6.42578125" style="35" customWidth="1" outlineLevel="1"/>
    <col min="34" max="34" width="17.5703125" style="35" customWidth="1" outlineLevel="1"/>
    <col min="35" max="35" width="2.5703125" style="35" customWidth="1"/>
    <col min="36" max="36" width="6.7109375" style="79" customWidth="1" outlineLevel="1"/>
    <col min="37" max="38" width="5" style="80" customWidth="1" outlineLevel="1"/>
    <col min="39" max="39" width="4.140625" style="79" customWidth="1" outlineLevel="1"/>
    <col min="40" max="40" width="2.5703125" style="80" customWidth="1" outlineLevel="1"/>
    <col min="41" max="41" width="6.42578125" style="79" customWidth="1" outlineLevel="1"/>
    <col min="42" max="43" width="5" style="80" customWidth="1" outlineLevel="1"/>
    <col min="44" max="44" width="4.140625" style="79" customWidth="1" outlineLevel="1"/>
    <col min="45" max="45" width="2.5703125" style="81" customWidth="1" outlineLevel="1"/>
    <col min="46" max="46" width="2.7109375" style="81" customWidth="1" outlineLevel="1"/>
    <col min="47" max="47" width="7" style="81" customWidth="1" outlineLevel="1"/>
    <col min="48" max="48" width="2.5703125" style="35" customWidth="1"/>
    <col min="49" max="61" width="5.5703125" style="35" customWidth="1" outlineLevel="1"/>
    <col min="62" max="62" width="11.140625" style="35" bestFit="1" customWidth="1" outlineLevel="1"/>
    <col min="63" max="63" width="3.42578125" style="35" customWidth="1"/>
    <col min="64" max="65" width="16.42578125" style="35" customWidth="1"/>
    <col min="66" max="66" width="8.5703125" style="35" bestFit="1" customWidth="1"/>
    <col min="67" max="67" width="7.140625" style="35" bestFit="1" customWidth="1"/>
    <col min="68" max="68" width="12.5703125" style="35" bestFit="1" customWidth="1"/>
    <col min="69" max="69" width="2.5703125" style="35" customWidth="1"/>
    <col min="70" max="70" width="8.7109375" style="82" customWidth="1"/>
    <col min="71" max="71" width="1.42578125" style="35" customWidth="1"/>
    <col min="72" max="72" width="32.42578125" style="35" bestFit="1" customWidth="1"/>
    <col min="73" max="73" width="14.7109375" style="35" customWidth="1"/>
    <col min="74" max="74" width="1.42578125" style="35" customWidth="1"/>
    <col min="75" max="76" width="8.7109375" style="35" customWidth="1"/>
    <col min="77" max="77" width="11.28515625" style="35" customWidth="1"/>
    <col min="78" max="81" width="8.7109375" style="35" customWidth="1"/>
    <col min="82" max="82" width="1.42578125" style="35" customWidth="1"/>
    <col min="83" max="1067" width="8.7109375" style="35" customWidth="1"/>
    <col min="1068" max="16384" width="9.140625" style="35"/>
  </cols>
  <sheetData>
    <row r="1" spans="1:88" ht="19.5" customHeight="1" thickBot="1" x14ac:dyDescent="0.3">
      <c r="A1" s="107"/>
      <c r="B1" s="108" t="s">
        <v>173</v>
      </c>
      <c r="C1" s="164" t="s">
        <v>155</v>
      </c>
      <c r="D1" s="165"/>
      <c r="E1" s="164" t="s">
        <v>155</v>
      </c>
      <c r="F1" s="165"/>
      <c r="G1" s="164" t="s">
        <v>257</v>
      </c>
      <c r="H1" s="165"/>
      <c r="I1" s="164" t="s">
        <v>257</v>
      </c>
      <c r="J1" s="165"/>
      <c r="K1" s="164" t="s">
        <v>257</v>
      </c>
      <c r="L1" s="165"/>
      <c r="M1" s="164" t="s">
        <v>257</v>
      </c>
      <c r="N1" s="165"/>
      <c r="O1" s="164" t="s">
        <v>257</v>
      </c>
      <c r="P1" s="165"/>
      <c r="Q1" s="164" t="s">
        <v>257</v>
      </c>
      <c r="R1" s="165"/>
      <c r="S1" s="164" t="s">
        <v>257</v>
      </c>
      <c r="T1" s="165"/>
      <c r="U1" s="164" t="s">
        <v>257</v>
      </c>
      <c r="V1" s="165"/>
      <c r="W1" s="164" t="s">
        <v>257</v>
      </c>
      <c r="X1" s="165"/>
      <c r="Y1" s="164" t="s">
        <v>155</v>
      </c>
      <c r="Z1" s="165"/>
      <c r="AA1" s="164" t="s">
        <v>155</v>
      </c>
      <c r="AB1" s="165"/>
      <c r="AC1" s="171" t="s">
        <v>155</v>
      </c>
      <c r="AD1" s="172"/>
      <c r="AE1" s="109"/>
      <c r="AF1" s="109"/>
      <c r="AG1" s="109"/>
      <c r="AH1" s="110" t="s">
        <v>258</v>
      </c>
      <c r="AI1" s="98"/>
      <c r="AJ1" s="166" t="s">
        <v>120</v>
      </c>
      <c r="AK1" s="166"/>
      <c r="AL1" s="166"/>
      <c r="AM1" s="166"/>
      <c r="AN1" s="111"/>
      <c r="AO1" s="166" t="s">
        <v>121</v>
      </c>
      <c r="AP1" s="166"/>
      <c r="AQ1" s="166"/>
      <c r="AR1" s="166"/>
      <c r="AS1" s="112"/>
      <c r="AT1" s="173" t="s">
        <v>122</v>
      </c>
      <c r="AU1" s="173"/>
      <c r="AV1" s="98"/>
      <c r="AW1" s="34" t="str">
        <f>C1</f>
        <v>SIM</v>
      </c>
      <c r="AX1" s="34" t="str">
        <f>E1</f>
        <v>SIM</v>
      </c>
      <c r="AY1" s="34" t="str">
        <f>G1</f>
        <v>NÃO</v>
      </c>
      <c r="AZ1" s="34" t="str">
        <f>K1</f>
        <v>NÃO</v>
      </c>
      <c r="BA1" s="34" t="str">
        <f>M1</f>
        <v>NÃO</v>
      </c>
      <c r="BB1" s="34" t="str">
        <f>O1</f>
        <v>NÃO</v>
      </c>
      <c r="BC1" s="34" t="str">
        <f>Q1</f>
        <v>NÃO</v>
      </c>
      <c r="BD1" s="34" t="str">
        <f>S1</f>
        <v>NÃO</v>
      </c>
      <c r="BE1" s="34" t="str">
        <f>U1</f>
        <v>NÃO</v>
      </c>
      <c r="BF1" s="34" t="str">
        <f>W1</f>
        <v>NÃO</v>
      </c>
      <c r="BG1" s="34" t="str">
        <f>Y1</f>
        <v>SIM</v>
      </c>
      <c r="BH1" s="34" t="str">
        <f>AA1</f>
        <v>SIM</v>
      </c>
      <c r="BI1" s="34" t="str">
        <f>AC1</f>
        <v>SIM</v>
      </c>
      <c r="BJ1" s="98"/>
      <c r="BK1" s="98"/>
      <c r="BL1" s="98"/>
      <c r="BM1" s="98"/>
      <c r="BN1" s="98"/>
      <c r="BO1" s="98"/>
      <c r="BP1" s="98"/>
      <c r="BQ1" s="98"/>
      <c r="BR1" s="113"/>
    </row>
    <row r="2" spans="1:88" ht="30" customHeight="1" thickBot="1" x14ac:dyDescent="0.3">
      <c r="A2" s="114" t="s">
        <v>126</v>
      </c>
      <c r="B2" s="36" t="s">
        <v>127</v>
      </c>
      <c r="C2" s="169" t="s">
        <v>242</v>
      </c>
      <c r="D2" s="170"/>
      <c r="E2" s="169" t="s">
        <v>243</v>
      </c>
      <c r="F2" s="170"/>
      <c r="G2" s="169" t="s">
        <v>244</v>
      </c>
      <c r="H2" s="170"/>
      <c r="I2" s="169" t="s">
        <v>245</v>
      </c>
      <c r="J2" s="170"/>
      <c r="K2" s="169" t="s">
        <v>246</v>
      </c>
      <c r="L2" s="170"/>
      <c r="M2" s="167" t="s">
        <v>247</v>
      </c>
      <c r="N2" s="168"/>
      <c r="O2" s="167" t="s">
        <v>88</v>
      </c>
      <c r="P2" s="168"/>
      <c r="Q2" s="167" t="s">
        <v>77</v>
      </c>
      <c r="R2" s="168"/>
      <c r="S2" s="167" t="s">
        <v>125</v>
      </c>
      <c r="T2" s="168"/>
      <c r="U2" s="167" t="s">
        <v>118</v>
      </c>
      <c r="V2" s="168"/>
      <c r="W2" s="167" t="s">
        <v>248</v>
      </c>
      <c r="X2" s="168"/>
      <c r="Y2" s="167" t="s">
        <v>249</v>
      </c>
      <c r="Z2" s="168"/>
      <c r="AA2" s="169" t="s">
        <v>250</v>
      </c>
      <c r="AB2" s="170"/>
      <c r="AC2" s="142" t="s">
        <v>285</v>
      </c>
      <c r="AD2" s="143">
        <f>IF(AC2="Andar Res",3,2)</f>
        <v>3</v>
      </c>
      <c r="AE2" s="37" t="s">
        <v>251</v>
      </c>
      <c r="AF2" s="37" t="s">
        <v>256</v>
      </c>
      <c r="AG2" s="38" t="s">
        <v>241</v>
      </c>
      <c r="AH2" s="39" t="s">
        <v>252</v>
      </c>
      <c r="AI2" s="40"/>
      <c r="AJ2" s="41" t="s">
        <v>236</v>
      </c>
      <c r="AK2" s="42" t="s">
        <v>237</v>
      </c>
      <c r="AL2" s="42" t="s">
        <v>238</v>
      </c>
      <c r="AM2" s="41" t="s">
        <v>123</v>
      </c>
      <c r="AN2" s="43"/>
      <c r="AO2" s="41" t="s">
        <v>236</v>
      </c>
      <c r="AP2" s="42" t="s">
        <v>237</v>
      </c>
      <c r="AQ2" s="42" t="s">
        <v>239</v>
      </c>
      <c r="AR2" s="41" t="s">
        <v>123</v>
      </c>
      <c r="AS2" s="44"/>
      <c r="AT2" s="45" t="s">
        <v>156</v>
      </c>
      <c r="AU2" s="45" t="s">
        <v>157</v>
      </c>
      <c r="AV2" s="40"/>
      <c r="AW2" s="46" t="s">
        <v>222</v>
      </c>
      <c r="AX2" s="46" t="s">
        <v>223</v>
      </c>
      <c r="AY2" s="46" t="s">
        <v>224</v>
      </c>
      <c r="AZ2" s="46" t="s">
        <v>225</v>
      </c>
      <c r="BA2" s="46" t="s">
        <v>226</v>
      </c>
      <c r="BB2" s="46" t="s">
        <v>227</v>
      </c>
      <c r="BC2" s="46" t="s">
        <v>228</v>
      </c>
      <c r="BD2" s="46" t="s">
        <v>229</v>
      </c>
      <c r="BE2" s="46" t="s">
        <v>230</v>
      </c>
      <c r="BF2" s="46" t="s">
        <v>231</v>
      </c>
      <c r="BG2" s="46" t="s">
        <v>232</v>
      </c>
      <c r="BH2" s="46" t="s">
        <v>233</v>
      </c>
      <c r="BI2" s="46" t="s">
        <v>234</v>
      </c>
      <c r="BJ2" s="46" t="s">
        <v>235</v>
      </c>
      <c r="BK2" s="47"/>
      <c r="BL2" s="48" t="s">
        <v>272</v>
      </c>
      <c r="BM2" s="48" t="s">
        <v>273</v>
      </c>
      <c r="BN2" s="48" t="s">
        <v>253</v>
      </c>
      <c r="BO2" s="48" t="s">
        <v>254</v>
      </c>
      <c r="BP2" s="48" t="s">
        <v>255</v>
      </c>
      <c r="BQ2" s="40"/>
      <c r="BR2" s="115"/>
      <c r="BT2" s="84" t="s">
        <v>286</v>
      </c>
      <c r="BU2" s="95"/>
      <c r="BW2" s="84" t="s">
        <v>197</v>
      </c>
      <c r="BX2" s="85"/>
      <c r="BY2" s="85"/>
      <c r="BZ2" s="85"/>
      <c r="CA2" s="86"/>
      <c r="CB2" s="86"/>
      <c r="CC2" s="87"/>
      <c r="CE2" s="84" t="s">
        <v>215</v>
      </c>
      <c r="CF2" s="85"/>
      <c r="CG2" s="85"/>
      <c r="CH2" s="85"/>
      <c r="CI2" s="86"/>
      <c r="CJ2" s="102"/>
    </row>
    <row r="3" spans="1:88" s="63" customFormat="1" ht="28.5" customHeight="1" thickBot="1" x14ac:dyDescent="0.3">
      <c r="A3" s="116">
        <v>1</v>
      </c>
      <c r="B3" s="13" t="s">
        <v>262</v>
      </c>
      <c r="C3" s="14">
        <v>1</v>
      </c>
      <c r="D3" s="49">
        <f>C3</f>
        <v>1</v>
      </c>
      <c r="E3" s="15">
        <v>92.09</v>
      </c>
      <c r="F3" s="50"/>
      <c r="G3" s="15"/>
      <c r="H3" s="50"/>
      <c r="I3" s="15"/>
      <c r="J3" s="50"/>
      <c r="K3" s="51" t="str">
        <f t="shared" ref="K3:K18" si="0">IF(G3="","",G3/I3)</f>
        <v/>
      </c>
      <c r="L3" s="52"/>
      <c r="M3" s="14"/>
      <c r="N3" s="53" t="str">
        <f>IF(M$1="SIM",IF(M3="","1",VLOOKUP(M3,Dicionários!$A$2:$B$22,2,0)),"1")</f>
        <v>1</v>
      </c>
      <c r="O3" s="14"/>
      <c r="P3" s="53" t="str">
        <f>IF(O$1="SIM",IF(O3="","1",VLOOKUP(O3,Dicionários!$C$2:$D$22,2,0)),"1")</f>
        <v>1</v>
      </c>
      <c r="Q3" s="14"/>
      <c r="R3" s="53" t="str">
        <f>IF(Q$1="SIM",IF(Q3="","1",VLOOKUP(Q3,Dicionários!$E$2:$F$22,2,0)),"1")</f>
        <v>1</v>
      </c>
      <c r="S3" s="14"/>
      <c r="T3" s="53" t="str">
        <f>IF(S$1="SIM",IF(S3="","1",VLOOKUP(S3,Dicionários!$G$2:$H$22,2,0)),"1")</f>
        <v>1</v>
      </c>
      <c r="U3" s="14"/>
      <c r="V3" s="53" t="str">
        <f>IF(U$1="SIM",IF(U3="","1",VLOOKUP(U3,Dicionários!$I$2:$J$22,2,0)),"1")</f>
        <v>1</v>
      </c>
      <c r="W3" s="14"/>
      <c r="X3" s="53" t="str">
        <f>IF(W$1="SIM",IF(W3="","1",VLOOKUP(W3,Dicionários!$K$2:$L$22,2,0)),"1")</f>
        <v>1</v>
      </c>
      <c r="Y3" s="14" t="s">
        <v>279</v>
      </c>
      <c r="Z3" s="53">
        <f>IF(Y$1="SIM",IF(Y3="","1",VLOOKUP(Y3,Dicionários!$M$2:$N$12,2,0)),"1")</f>
        <v>1.3</v>
      </c>
      <c r="AA3" s="14">
        <v>1</v>
      </c>
      <c r="AB3" s="49"/>
      <c r="AC3" s="14" t="s">
        <v>135</v>
      </c>
      <c r="AD3" s="53">
        <f>IF(AC$1="SIM",IF(AC3="","1",VLOOKUP(AC3,Dicionários!$O$2:$Q$22,$AD$2,0)),"1")</f>
        <v>1.02</v>
      </c>
      <c r="AE3" s="26">
        <v>636000</v>
      </c>
      <c r="AF3" s="54">
        <f>IF(AE3="","",IF($AH$1="Terreno",AE3/G3,AE3/E3))</f>
        <v>6906.28732761429</v>
      </c>
      <c r="AG3" s="27">
        <v>0.9</v>
      </c>
      <c r="AH3" s="54">
        <f>IF(AE3="","",AF3*AG3)</f>
        <v>6215.6585948528609</v>
      </c>
      <c r="AI3" s="47"/>
      <c r="AJ3" s="55">
        <f>IF(E3="","",E3/$E$18)</f>
        <v>1.0232222222222223</v>
      </c>
      <c r="AK3" s="56">
        <f>ABS(E3-$E$18)</f>
        <v>2.0900000000000034</v>
      </c>
      <c r="AL3" s="56">
        <f>0.3*$E$18</f>
        <v>27</v>
      </c>
      <c r="AM3" s="55">
        <f>IF(AK3&lt;=AL3,0.25,0.125)</f>
        <v>0.25</v>
      </c>
      <c r="AN3" s="57"/>
      <c r="AO3" s="55" t="str">
        <f>IF(G3="","",G3/$G$18)</f>
        <v/>
      </c>
      <c r="AP3" s="56">
        <f t="shared" ref="AP3:AP17" si="1">ABS(G3-$G$18)</f>
        <v>0</v>
      </c>
      <c r="AQ3" s="56">
        <f t="shared" ref="AQ3:AQ17" si="2">0.3*$G$18</f>
        <v>0</v>
      </c>
      <c r="AR3" s="55">
        <f>IF(AP3&lt;=AQ3,0.25,0.125)</f>
        <v>0.25</v>
      </c>
      <c r="AS3" s="58"/>
      <c r="AT3" s="59">
        <f t="shared" ref="AT3:AT18" si="3">IF(AND(G3&gt;5000,K3&gt;90),1,0)</f>
        <v>0</v>
      </c>
      <c r="AU3" s="59">
        <f t="shared" ref="AU3:AU18" si="4">IF(I3=0,1,IF(AT3=1,(4.8*(I3^2)*(G3^-0.4)),IF(K3&lt;20,ROUND((K3/20)^0.5,3),IF(K3&lt;33,1,IF(K3&lt;90,ROUND((33/K3)^0.5,3),0.6)))))</f>
        <v>1</v>
      </c>
      <c r="AV3" s="47"/>
      <c r="AW3" s="60">
        <f>IF(C3="",1,IF(C$1="SIM",$C$18/C3,1))</f>
        <v>1.1000000000000001</v>
      </c>
      <c r="AX3" s="60">
        <f>IF(E3="",1,IF(E$1="SIM",AJ3^AM3,1))</f>
        <v>1.0057556729518835</v>
      </c>
      <c r="AY3" s="60">
        <f>IF(G3="",1,IF(G$1="SIM",AO3^AR3,1))</f>
        <v>1</v>
      </c>
      <c r="AZ3" s="60">
        <f>IF(K3="",1,IF(K$1="SIM",$AU$18/AU3,1))</f>
        <v>1</v>
      </c>
      <c r="BA3" s="60">
        <f>IF(M$1="SIM",$N$18/N3,1)</f>
        <v>1</v>
      </c>
      <c r="BB3" s="60">
        <f>IF(O$1="SIM",$P$18/P3,1)</f>
        <v>1</v>
      </c>
      <c r="BC3" s="60">
        <f>IF(Q$1="SIM",$R$18/R3,1)</f>
        <v>1</v>
      </c>
      <c r="BD3" s="60">
        <f>IF(S$1="SIM",$T$18/T3,1)</f>
        <v>1</v>
      </c>
      <c r="BE3" s="60">
        <f>IF(U$1="SIM",$V$18/V3,1)</f>
        <v>1</v>
      </c>
      <c r="BF3" s="60">
        <f>IF(W$1="SIM",$X$18/X3,1)</f>
        <v>1</v>
      </c>
      <c r="BG3" s="60">
        <f>IF(Y$1="SIM",$Z$18/Z3,1)</f>
        <v>1.1153846153846154</v>
      </c>
      <c r="BH3" s="60">
        <f t="shared" ref="BH3:BH17" si="5">IF(AA3-$AA$18=0,1,1-0.067*(AA3-$AA$18))</f>
        <v>1.0669999999999999</v>
      </c>
      <c r="BI3" s="60">
        <f>IF(AC$1="SIM",$AD$18/AD3,1)</f>
        <v>1.0196078431372548</v>
      </c>
      <c r="BJ3" s="61">
        <f t="shared" ref="BJ3:BJ17" si="6">1/1+((AW3-1)+(AX3-1)+(AY3-1)+(AZ3-1))+(BA3-1)+(BB3-1)+(BC3-1)+(BD3-1)+(BE3-1)+(BF3-1)+(BG3-1)+(BH3-1)+(BI3-1)</f>
        <v>1.3077481314737538</v>
      </c>
      <c r="BK3" s="47"/>
      <c r="BL3" s="62">
        <f t="shared" ref="BL3:BL16" si="7">IF(AH3="","",BJ3*AH3)</f>
        <v>8128.5159132976069</v>
      </c>
      <c r="BM3" s="62">
        <f t="shared" ref="BM3:BM16" si="8">IF(BL3="","",IF(BR3="Sim",AH3*BJ3,""))</f>
        <v>8128.5159132976069</v>
      </c>
      <c r="BN3" s="62">
        <f t="shared" ref="BN3:BN17" si="9">IF(BM3="","",ABS((BM3-$BM$18)/$BU$15))</f>
        <v>0.15912363617492356</v>
      </c>
      <c r="BO3" s="62">
        <f>IF(BM3="","",VLOOKUP($BU$16,Dicionários!$S$2:$T$31,2,0))</f>
        <v>2.06</v>
      </c>
      <c r="BP3" s="62" t="str">
        <f t="shared" ref="BP3:BP17" si="10">IF(BM3="","",IF(BN3&gt;BO3,"REJEITADO","ACEITO"))</f>
        <v>ACEITO</v>
      </c>
      <c r="BQ3" s="47"/>
      <c r="BR3" s="117" t="s">
        <v>219</v>
      </c>
      <c r="BT3" s="128" t="s">
        <v>187</v>
      </c>
      <c r="BU3" s="132">
        <f>COUNTA(BL3:BL17)</f>
        <v>15</v>
      </c>
      <c r="BV3" s="64"/>
      <c r="BW3" s="88" t="s">
        <v>205</v>
      </c>
      <c r="BX3" s="89"/>
      <c r="BY3" s="40"/>
      <c r="BZ3" s="163">
        <f>IF($AH$1="Terreno",G18,E18)</f>
        <v>90</v>
      </c>
      <c r="CA3" s="163"/>
      <c r="CB3" s="90" t="s">
        <v>204</v>
      </c>
      <c r="CC3" s="91"/>
      <c r="CE3" s="97" t="s">
        <v>217</v>
      </c>
      <c r="CF3" s="98"/>
      <c r="CG3" s="98"/>
      <c r="CH3" s="98"/>
      <c r="CI3" s="98"/>
      <c r="CJ3" s="99"/>
    </row>
    <row r="4" spans="1:88" s="63" customFormat="1" ht="28.5" customHeight="1" thickBot="1" x14ac:dyDescent="0.3">
      <c r="A4" s="118">
        <v>2</v>
      </c>
      <c r="B4" s="16" t="s">
        <v>266</v>
      </c>
      <c r="C4" s="14">
        <v>1.1000000000000001</v>
      </c>
      <c r="D4" s="49">
        <f t="shared" ref="D4:D18" si="11">C4</f>
        <v>1.1000000000000001</v>
      </c>
      <c r="E4" s="18">
        <v>96.05</v>
      </c>
      <c r="F4" s="66"/>
      <c r="G4" s="18"/>
      <c r="H4" s="66"/>
      <c r="I4" s="18"/>
      <c r="J4" s="66"/>
      <c r="K4" s="51" t="str">
        <f t="shared" si="0"/>
        <v/>
      </c>
      <c r="L4" s="67"/>
      <c r="M4" s="14"/>
      <c r="N4" s="53" t="str">
        <f>IF(M$1="SIM",IF(M4="","1",VLOOKUP(M4,Dicionários!$A$2:$B$22,2,0)),"1")</f>
        <v>1</v>
      </c>
      <c r="O4" s="14"/>
      <c r="P4" s="53" t="str">
        <f>IF(O$1="SIM",IF(O4="","1",VLOOKUP(O4,Dicionários!$C$2:$D$22,2,0)),"1")</f>
        <v>1</v>
      </c>
      <c r="Q4" s="14"/>
      <c r="R4" s="53" t="str">
        <f>IF(Q$1="SIM",IF(Q4="","1",VLOOKUP(Q4,Dicionários!$E$2:$F$22,2,0)),"1")</f>
        <v>1</v>
      </c>
      <c r="S4" s="14"/>
      <c r="T4" s="53" t="str">
        <f>IF(S$1="SIM",IF(S4="","1",VLOOKUP(S4,Dicionários!$G$2:$H$22,2,0)),"1")</f>
        <v>1</v>
      </c>
      <c r="U4" s="14"/>
      <c r="V4" s="53" t="str">
        <f>IF(U$1="SIM",IF(U4="","1",VLOOKUP(U4,Dicionários!$I$2:$J$22,2,0)),"1")</f>
        <v>1</v>
      </c>
      <c r="W4" s="17"/>
      <c r="X4" s="53" t="str">
        <f>IF(W$1="SIM",IF(W4="","1",VLOOKUP(W4,Dicionários!$K$2:$L$22,2,0)),"1")</f>
        <v>1</v>
      </c>
      <c r="Y4" s="17" t="s">
        <v>279</v>
      </c>
      <c r="Z4" s="53">
        <f>IF(Y$1="SIM",IF(Y4="","1",VLOOKUP(Y4,Dicionários!$M$2:$N$12,2,0)),"1")</f>
        <v>1.3</v>
      </c>
      <c r="AA4" s="17">
        <v>2</v>
      </c>
      <c r="AB4" s="65"/>
      <c r="AC4" s="17" t="s">
        <v>136</v>
      </c>
      <c r="AD4" s="53">
        <f>IF(AC$1="SIM",IF(AC4="","1",VLOOKUP(AC4,Dicionários!$O$2:$Q$22,$AD$2,0)),"1")</f>
        <v>1.04</v>
      </c>
      <c r="AE4" s="28">
        <v>670000</v>
      </c>
      <c r="AF4" s="54">
        <f t="shared" ref="AF4:AF17" si="12">IF(AE4="","",IF($AH$1="Terreno",AE4/G4,AE4/E4))</f>
        <v>6975.5335762623636</v>
      </c>
      <c r="AG4" s="27">
        <v>0.9</v>
      </c>
      <c r="AH4" s="54">
        <f t="shared" ref="AH4:AH17" si="13">IF(AE4="","",AF4*AG4)</f>
        <v>6277.9802186361276</v>
      </c>
      <c r="AI4" s="47"/>
      <c r="AJ4" s="55">
        <f t="shared" ref="AJ4:AJ17" si="14">IF(E4="","",E4/$E$18)</f>
        <v>1.0672222222222223</v>
      </c>
      <c r="AK4" s="56">
        <f t="shared" ref="AK4:AK17" si="15">ABS(E4-$E$18)</f>
        <v>6.0499999999999972</v>
      </c>
      <c r="AL4" s="56">
        <f t="shared" ref="AL4:AL17" si="16">0.3*$E$18</f>
        <v>27</v>
      </c>
      <c r="AM4" s="55">
        <f t="shared" ref="AM4:AM17" si="17">IF(AK4&lt;=AL4,0.25,0.125)</f>
        <v>0.25</v>
      </c>
      <c r="AN4" s="57"/>
      <c r="AO4" s="55" t="str">
        <f t="shared" ref="AO4:AO17" si="18">IF(G4="","",G4/$G$18)</f>
        <v/>
      </c>
      <c r="AP4" s="56">
        <f t="shared" si="1"/>
        <v>0</v>
      </c>
      <c r="AQ4" s="56">
        <f t="shared" si="2"/>
        <v>0</v>
      </c>
      <c r="AR4" s="55">
        <f t="shared" ref="AR4:AR17" si="19">IF(AP4&lt;=AQ4,0.25,0.125)</f>
        <v>0.25</v>
      </c>
      <c r="AS4" s="58"/>
      <c r="AT4" s="59">
        <f t="shared" si="3"/>
        <v>0</v>
      </c>
      <c r="AU4" s="59">
        <f t="shared" si="4"/>
        <v>1</v>
      </c>
      <c r="AV4" s="47"/>
      <c r="AW4" s="60">
        <f t="shared" ref="AW4:AW17" si="20">IF(C4="",1,IF(C$1="SIM",$C$18/C4,1))</f>
        <v>1</v>
      </c>
      <c r="AX4" s="60">
        <f t="shared" ref="AX4:AX17" si="21">IF(E4="",1,IF(E$1="SIM",AJ4^AM4,1))</f>
        <v>1.0163977967086095</v>
      </c>
      <c r="AY4" s="60">
        <f t="shared" ref="AY4:AY17" si="22">IF(G4="",1,IF(G$1="SIM",AO4^AR4,1))</f>
        <v>1</v>
      </c>
      <c r="AZ4" s="60">
        <f t="shared" ref="AZ4:AZ17" si="23">IF(K4="",1,IF(K$1="SIM",$AU$18/AU4,1))</f>
        <v>1</v>
      </c>
      <c r="BA4" s="60">
        <f t="shared" ref="BA4:BA17" si="24">IF(M$1="SIM",$N$18/N4,1)</f>
        <v>1</v>
      </c>
      <c r="BB4" s="60">
        <f t="shared" ref="BB4:BB17" si="25">$P$18/P4</f>
        <v>1</v>
      </c>
      <c r="BC4" s="60">
        <f t="shared" ref="BC4:BC17" si="26">IF(Q$1="SIM",$R$18/R4,1)</f>
        <v>1</v>
      </c>
      <c r="BD4" s="60">
        <f t="shared" ref="BD4:BD17" si="27">IF(S$1="SIM",$T$18/T4,1)</f>
        <v>1</v>
      </c>
      <c r="BE4" s="60">
        <f t="shared" ref="BE4:BE17" si="28">IF(U$1="SIM",$V$18/V4,1)</f>
        <v>1</v>
      </c>
      <c r="BF4" s="60">
        <f t="shared" ref="BF4:BF17" si="29">IF(W$1="SIM",$X$18/X4,1)</f>
        <v>1</v>
      </c>
      <c r="BG4" s="60">
        <f t="shared" ref="BG4:BG17" si="30">IF(Y$1="SIM",$Z$18/Z4,1)</f>
        <v>1.1153846153846154</v>
      </c>
      <c r="BH4" s="60">
        <f t="shared" si="5"/>
        <v>1</v>
      </c>
      <c r="BI4" s="60">
        <f t="shared" ref="BI4:BI17" si="31">IF(AC$1="SIM",$AD$18/AD4,1)</f>
        <v>1</v>
      </c>
      <c r="BJ4" s="61">
        <f t="shared" si="6"/>
        <v>1.1317824120932249</v>
      </c>
      <c r="BK4" s="47"/>
      <c r="BL4" s="62">
        <f t="shared" si="7"/>
        <v>7105.3075949215481</v>
      </c>
      <c r="BM4" s="62">
        <f t="shared" si="8"/>
        <v>7105.3075949215481</v>
      </c>
      <c r="BN4" s="62">
        <f t="shared" si="9"/>
        <v>1.2360336358522577</v>
      </c>
      <c r="BO4" s="62">
        <f>IF(BM4="","",VLOOKUP($BU$16,Dicionários!$S$2:$T$31,2,0))</f>
        <v>2.06</v>
      </c>
      <c r="BP4" s="62" t="str">
        <f t="shared" si="10"/>
        <v>ACEITO</v>
      </c>
      <c r="BQ4" s="47"/>
      <c r="BR4" s="117" t="s">
        <v>219</v>
      </c>
      <c r="BT4" s="128" t="s">
        <v>188</v>
      </c>
      <c r="BU4" s="133">
        <f>BL18</f>
        <v>7821.320141947207</v>
      </c>
      <c r="BV4" s="64"/>
      <c r="BW4" s="92" t="s">
        <v>269</v>
      </c>
      <c r="BX4" s="89"/>
      <c r="BY4" s="40"/>
      <c r="BZ4" s="89"/>
      <c r="CA4" s="93"/>
      <c r="CB4" s="90"/>
      <c r="CC4" s="91"/>
      <c r="CE4" s="144" t="s">
        <v>218</v>
      </c>
      <c r="CF4" s="145"/>
      <c r="CG4" s="145"/>
      <c r="CH4" s="145"/>
      <c r="CI4" s="145"/>
      <c r="CJ4" s="146"/>
    </row>
    <row r="5" spans="1:88" s="63" customFormat="1" ht="28.5" customHeight="1" thickBot="1" x14ac:dyDescent="0.3">
      <c r="A5" s="116">
        <v>3</v>
      </c>
      <c r="B5" s="16" t="s">
        <v>261</v>
      </c>
      <c r="C5" s="14">
        <v>1</v>
      </c>
      <c r="D5" s="49">
        <f t="shared" si="11"/>
        <v>1</v>
      </c>
      <c r="E5" s="18">
        <v>87.11</v>
      </c>
      <c r="F5" s="66"/>
      <c r="G5" s="18"/>
      <c r="H5" s="66"/>
      <c r="I5" s="18"/>
      <c r="J5" s="66"/>
      <c r="K5" s="51" t="str">
        <f t="shared" si="0"/>
        <v/>
      </c>
      <c r="L5" s="67"/>
      <c r="M5" s="14"/>
      <c r="N5" s="53" t="str">
        <f>IF(M$1="SIM",IF(M5="","1",VLOOKUP(M5,Dicionários!$A$2:$B$22,2,0)),"1")</f>
        <v>1</v>
      </c>
      <c r="O5" s="14"/>
      <c r="P5" s="53" t="str">
        <f>IF(O$1="SIM",IF(O5="","1",VLOOKUP(O5,Dicionários!$C$2:$D$22,2,0)),"1")</f>
        <v>1</v>
      </c>
      <c r="Q5" s="14"/>
      <c r="R5" s="53" t="str">
        <f>IF(Q$1="SIM",IF(Q5="","1",VLOOKUP(Q5,Dicionários!$E$2:$F$22,2,0)),"1")</f>
        <v>1</v>
      </c>
      <c r="S5" s="14"/>
      <c r="T5" s="53" t="str">
        <f>IF(S$1="SIM",IF(S5="","1",VLOOKUP(S5,Dicionários!$G$2:$H$22,2,0)),"1")</f>
        <v>1</v>
      </c>
      <c r="U5" s="14"/>
      <c r="V5" s="53" t="str">
        <f>IF(U$1="SIM",IF(U5="","1",VLOOKUP(U5,Dicionários!$I$2:$J$22,2,0)),"1")</f>
        <v>1</v>
      </c>
      <c r="W5" s="17"/>
      <c r="X5" s="53" t="str">
        <f>IF(W$1="SIM",IF(W5="","1",VLOOKUP(W5,Dicionários!$K$2:$L$22,2,0)),"1")</f>
        <v>1</v>
      </c>
      <c r="Y5" s="17" t="s">
        <v>279</v>
      </c>
      <c r="Z5" s="53">
        <f>IF(Y$1="SIM",IF(Y5="","1",VLOOKUP(Y5,Dicionários!$M$2:$N$12,2,0)),"1")</f>
        <v>1.3</v>
      </c>
      <c r="AA5" s="17">
        <v>1</v>
      </c>
      <c r="AB5" s="65"/>
      <c r="AC5" s="17" t="s">
        <v>135</v>
      </c>
      <c r="AD5" s="53">
        <f>IF(AC$1="SIM",IF(AC5="","1",VLOOKUP(AC5,Dicionários!$O$2:$Q$22,$AD$2,0)),"1")</f>
        <v>1.02</v>
      </c>
      <c r="AE5" s="28">
        <v>636000</v>
      </c>
      <c r="AF5" s="54">
        <f t="shared" si="12"/>
        <v>7301.1135346114106</v>
      </c>
      <c r="AG5" s="27">
        <v>0.9</v>
      </c>
      <c r="AH5" s="54">
        <f t="shared" si="13"/>
        <v>6571.0021811502693</v>
      </c>
      <c r="AI5" s="47"/>
      <c r="AJ5" s="55">
        <f t="shared" si="14"/>
        <v>0.96788888888888891</v>
      </c>
      <c r="AK5" s="56">
        <f t="shared" si="15"/>
        <v>2.8900000000000006</v>
      </c>
      <c r="AL5" s="56">
        <f t="shared" si="16"/>
        <v>27</v>
      </c>
      <c r="AM5" s="55">
        <f t="shared" si="17"/>
        <v>0.25</v>
      </c>
      <c r="AN5" s="57"/>
      <c r="AO5" s="55" t="str">
        <f t="shared" si="18"/>
        <v/>
      </c>
      <c r="AP5" s="56">
        <f t="shared" si="1"/>
        <v>0</v>
      </c>
      <c r="AQ5" s="56">
        <f t="shared" si="2"/>
        <v>0</v>
      </c>
      <c r="AR5" s="55">
        <f t="shared" si="19"/>
        <v>0.25</v>
      </c>
      <c r="AS5" s="58"/>
      <c r="AT5" s="59">
        <f t="shared" si="3"/>
        <v>0</v>
      </c>
      <c r="AU5" s="59">
        <f t="shared" si="4"/>
        <v>1</v>
      </c>
      <c r="AV5" s="47"/>
      <c r="AW5" s="60">
        <f t="shared" si="20"/>
        <v>1.1000000000000001</v>
      </c>
      <c r="AX5" s="60">
        <f t="shared" si="21"/>
        <v>0.99187370270432351</v>
      </c>
      <c r="AY5" s="60">
        <f t="shared" si="22"/>
        <v>1</v>
      </c>
      <c r="AZ5" s="60">
        <f t="shared" si="23"/>
        <v>1</v>
      </c>
      <c r="BA5" s="60">
        <f t="shared" si="24"/>
        <v>1</v>
      </c>
      <c r="BB5" s="60">
        <f t="shared" si="25"/>
        <v>1</v>
      </c>
      <c r="BC5" s="60">
        <f t="shared" si="26"/>
        <v>1</v>
      </c>
      <c r="BD5" s="60">
        <f t="shared" si="27"/>
        <v>1</v>
      </c>
      <c r="BE5" s="60">
        <f t="shared" si="28"/>
        <v>1</v>
      </c>
      <c r="BF5" s="60">
        <f t="shared" si="29"/>
        <v>1</v>
      </c>
      <c r="BG5" s="60">
        <f t="shared" si="30"/>
        <v>1.1153846153846154</v>
      </c>
      <c r="BH5" s="60">
        <f t="shared" si="5"/>
        <v>1.0669999999999999</v>
      </c>
      <c r="BI5" s="60">
        <f t="shared" si="31"/>
        <v>1.0196078431372548</v>
      </c>
      <c r="BJ5" s="61">
        <f t="shared" si="6"/>
        <v>1.2938661612261939</v>
      </c>
      <c r="BK5" s="47"/>
      <c r="BL5" s="62">
        <f t="shared" si="7"/>
        <v>8501.997367533846</v>
      </c>
      <c r="BM5" s="62">
        <f t="shared" si="8"/>
        <v>8501.997367533846</v>
      </c>
      <c r="BN5" s="62">
        <f t="shared" si="9"/>
        <v>0.66837024557696845</v>
      </c>
      <c r="BO5" s="62">
        <f>IF(BM5="","",VLOOKUP($BU$16,Dicionários!$S$2:$T$31,2,0))</f>
        <v>2.06</v>
      </c>
      <c r="BP5" s="62" t="str">
        <f t="shared" si="10"/>
        <v>ACEITO</v>
      </c>
      <c r="BQ5" s="47"/>
      <c r="BR5" s="117" t="s">
        <v>219</v>
      </c>
      <c r="BT5" s="128" t="s">
        <v>199</v>
      </c>
      <c r="BU5" s="132">
        <f>BU3-1</f>
        <v>14</v>
      </c>
      <c r="BV5" s="64"/>
      <c r="BW5" s="94" t="s">
        <v>212</v>
      </c>
      <c r="BX5" s="89"/>
      <c r="BY5" s="40"/>
      <c r="BZ5" s="89"/>
      <c r="CA5" s="93"/>
      <c r="CB5" s="90"/>
      <c r="CC5" s="91"/>
      <c r="CE5" s="144"/>
      <c r="CF5" s="145"/>
      <c r="CG5" s="145"/>
      <c r="CH5" s="145"/>
      <c r="CI5" s="145"/>
      <c r="CJ5" s="146"/>
    </row>
    <row r="6" spans="1:88" s="63" customFormat="1" ht="28.5" customHeight="1" thickBot="1" x14ac:dyDescent="0.3">
      <c r="A6" s="118">
        <v>4</v>
      </c>
      <c r="B6" s="16" t="s">
        <v>268</v>
      </c>
      <c r="C6" s="14">
        <v>1.1000000000000001</v>
      </c>
      <c r="D6" s="49">
        <f t="shared" si="11"/>
        <v>1.1000000000000001</v>
      </c>
      <c r="E6" s="18">
        <v>95.02</v>
      </c>
      <c r="F6" s="66"/>
      <c r="G6" s="18"/>
      <c r="H6" s="66"/>
      <c r="I6" s="18"/>
      <c r="J6" s="66"/>
      <c r="K6" s="51" t="str">
        <f t="shared" si="0"/>
        <v/>
      </c>
      <c r="L6" s="67"/>
      <c r="M6" s="14"/>
      <c r="N6" s="53" t="str">
        <f>IF(M$1="SIM",IF(M6="","1",VLOOKUP(M6,Dicionários!$A$2:$B$22,2,0)),"1")</f>
        <v>1</v>
      </c>
      <c r="O6" s="14"/>
      <c r="P6" s="53" t="str">
        <f>IF(O$1="SIM",IF(O6="","1",VLOOKUP(O6,Dicionários!$C$2:$D$22,2,0)),"1")</f>
        <v>1</v>
      </c>
      <c r="Q6" s="14"/>
      <c r="R6" s="53" t="str">
        <f>IF(Q$1="SIM",IF(Q6="","1",VLOOKUP(Q6,Dicionários!$E$2:$F$22,2,0)),"1")</f>
        <v>1</v>
      </c>
      <c r="S6" s="14"/>
      <c r="T6" s="53" t="str">
        <f>IF(S$1="SIM",IF(S6="","1",VLOOKUP(S6,Dicionários!$G$2:$H$22,2,0)),"1")</f>
        <v>1</v>
      </c>
      <c r="U6" s="14"/>
      <c r="V6" s="53" t="str">
        <f>IF(U$1="SIM",IF(U6="","1",VLOOKUP(U6,Dicionários!$I$2:$J$22,2,0)),"1")</f>
        <v>1</v>
      </c>
      <c r="W6" s="17"/>
      <c r="X6" s="53" t="str">
        <f>IF(W$1="SIM",IF(W6="","1",VLOOKUP(W6,Dicionários!$K$2:$L$22,2,0)),"1")</f>
        <v>1</v>
      </c>
      <c r="Y6" s="17" t="s">
        <v>164</v>
      </c>
      <c r="Z6" s="53">
        <f>IF(Y$1="SIM",IF(Y6="","1",VLOOKUP(Y6,Dicionários!$M$2:$N$12,2,0)),"1")</f>
        <v>1.45</v>
      </c>
      <c r="AA6" s="17">
        <v>1</v>
      </c>
      <c r="AB6" s="65"/>
      <c r="AC6" s="17" t="s">
        <v>137</v>
      </c>
      <c r="AD6" s="53">
        <f>IF(AC$1="SIM",IF(AC6="","1",VLOOKUP(AC6,Dicionários!$O$2:$Q$22,$AD$2,0)),"1")</f>
        <v>1.0609999999999999</v>
      </c>
      <c r="AE6" s="28">
        <v>742000</v>
      </c>
      <c r="AF6" s="54">
        <f t="shared" si="12"/>
        <v>7808.8823405598823</v>
      </c>
      <c r="AG6" s="27">
        <v>0.9</v>
      </c>
      <c r="AH6" s="54">
        <f t="shared" si="13"/>
        <v>7027.9941065038938</v>
      </c>
      <c r="AI6" s="47"/>
      <c r="AJ6" s="55">
        <f t="shared" si="14"/>
        <v>1.0557777777777777</v>
      </c>
      <c r="AK6" s="56">
        <f t="shared" si="15"/>
        <v>5.019999999999996</v>
      </c>
      <c r="AL6" s="56">
        <f t="shared" si="16"/>
        <v>27</v>
      </c>
      <c r="AM6" s="55">
        <f t="shared" si="17"/>
        <v>0.25</v>
      </c>
      <c r="AN6" s="57"/>
      <c r="AO6" s="55" t="str">
        <f t="shared" si="18"/>
        <v/>
      </c>
      <c r="AP6" s="56">
        <f t="shared" si="1"/>
        <v>0</v>
      </c>
      <c r="AQ6" s="56">
        <f t="shared" si="2"/>
        <v>0</v>
      </c>
      <c r="AR6" s="55">
        <f t="shared" si="19"/>
        <v>0.25</v>
      </c>
      <c r="AS6" s="58"/>
      <c r="AT6" s="59">
        <f t="shared" si="3"/>
        <v>0</v>
      </c>
      <c r="AU6" s="59">
        <f t="shared" si="4"/>
        <v>1</v>
      </c>
      <c r="AV6" s="47"/>
      <c r="AW6" s="60">
        <f t="shared" si="20"/>
        <v>1</v>
      </c>
      <c r="AX6" s="60">
        <f t="shared" si="21"/>
        <v>1.0136619139293284</v>
      </c>
      <c r="AY6" s="60">
        <f t="shared" si="22"/>
        <v>1</v>
      </c>
      <c r="AZ6" s="60">
        <f>IF(K6="",1,IF(K$1="SIM",$AU$18/AU6,1))</f>
        <v>1</v>
      </c>
      <c r="BA6" s="60">
        <f t="shared" si="24"/>
        <v>1</v>
      </c>
      <c r="BB6" s="60">
        <f t="shared" si="25"/>
        <v>1</v>
      </c>
      <c r="BC6" s="60">
        <f t="shared" si="26"/>
        <v>1</v>
      </c>
      <c r="BD6" s="60">
        <f t="shared" si="27"/>
        <v>1</v>
      </c>
      <c r="BE6" s="60">
        <f t="shared" si="28"/>
        <v>1</v>
      </c>
      <c r="BF6" s="60">
        <f t="shared" si="29"/>
        <v>1</v>
      </c>
      <c r="BG6" s="60">
        <f t="shared" si="30"/>
        <v>1</v>
      </c>
      <c r="BH6" s="60">
        <f t="shared" si="5"/>
        <v>1.0669999999999999</v>
      </c>
      <c r="BI6" s="60">
        <f t="shared" si="31"/>
        <v>0.98020735155513672</v>
      </c>
      <c r="BJ6" s="61">
        <f t="shared" si="6"/>
        <v>1.0608692654844649</v>
      </c>
      <c r="BK6" s="47"/>
      <c r="BL6" s="62">
        <f t="shared" si="7"/>
        <v>7455.7829455959345</v>
      </c>
      <c r="BM6" s="62">
        <f t="shared" si="8"/>
        <v>7455.7829455959345</v>
      </c>
      <c r="BN6" s="62">
        <f t="shared" si="9"/>
        <v>0.75815613487993216</v>
      </c>
      <c r="BO6" s="62">
        <f>IF(BM6="","",VLOOKUP($BU$16,Dicionários!$S$2:$T$31,2,0))</f>
        <v>2.06</v>
      </c>
      <c r="BP6" s="62" t="str">
        <f t="shared" si="10"/>
        <v>ACEITO</v>
      </c>
      <c r="BQ6" s="47"/>
      <c r="BR6" s="117" t="s">
        <v>219</v>
      </c>
      <c r="BT6" s="128" t="s">
        <v>189</v>
      </c>
      <c r="BU6" s="133">
        <f>LARGE($BL$3:$BL$17,1)</f>
        <v>9289.6497598172555</v>
      </c>
      <c r="BV6" s="64"/>
      <c r="BW6" s="158" t="s">
        <v>213</v>
      </c>
      <c r="BX6" s="159"/>
      <c r="BY6" s="159"/>
      <c r="BZ6" s="160">
        <f>BU14</f>
        <v>8011.8146413701397</v>
      </c>
      <c r="CA6" s="160"/>
      <c r="CB6" s="90"/>
      <c r="CC6" s="91"/>
      <c r="CE6" s="144"/>
      <c r="CF6" s="145"/>
      <c r="CG6" s="145"/>
      <c r="CH6" s="145"/>
      <c r="CI6" s="145"/>
      <c r="CJ6" s="146"/>
    </row>
    <row r="7" spans="1:88" s="63" customFormat="1" ht="28.5" customHeight="1" thickBot="1" x14ac:dyDescent="0.3">
      <c r="A7" s="116">
        <v>5</v>
      </c>
      <c r="B7" s="16" t="s">
        <v>264</v>
      </c>
      <c r="C7" s="14">
        <v>1.1000000000000001</v>
      </c>
      <c r="D7" s="49">
        <f t="shared" si="11"/>
        <v>1.1000000000000001</v>
      </c>
      <c r="E7" s="18">
        <v>88.14</v>
      </c>
      <c r="F7" s="66"/>
      <c r="G7" s="18"/>
      <c r="H7" s="66"/>
      <c r="I7" s="18"/>
      <c r="J7" s="66"/>
      <c r="K7" s="51" t="str">
        <f t="shared" si="0"/>
        <v/>
      </c>
      <c r="L7" s="67"/>
      <c r="M7" s="14"/>
      <c r="N7" s="53" t="str">
        <f>IF(M$1="SIM",IF(M7="","1",VLOOKUP(M7,Dicionários!$A$2:$B$22,2,0)),"1")</f>
        <v>1</v>
      </c>
      <c r="O7" s="14"/>
      <c r="P7" s="53" t="str">
        <f>IF(O$1="SIM",IF(O7="","1",VLOOKUP(O7,Dicionários!$C$2:$D$22,2,0)),"1")</f>
        <v>1</v>
      </c>
      <c r="Q7" s="14"/>
      <c r="R7" s="53" t="str">
        <f>IF(Q$1="SIM",IF(Q7="","1",VLOOKUP(Q7,Dicionários!$E$2:$F$22,2,0)),"1")</f>
        <v>1</v>
      </c>
      <c r="S7" s="14"/>
      <c r="T7" s="53" t="str">
        <f>IF(S$1="SIM",IF(S7="","1",VLOOKUP(S7,Dicionários!$G$2:$H$22,2,0)),"1")</f>
        <v>1</v>
      </c>
      <c r="U7" s="14"/>
      <c r="V7" s="53" t="str">
        <f>IF(U$1="SIM",IF(U7="","1",VLOOKUP(U7,Dicionários!$I$2:$J$22,2,0)),"1")</f>
        <v>1</v>
      </c>
      <c r="W7" s="17"/>
      <c r="X7" s="53" t="str">
        <f>IF(W$1="SIM",IF(W7="","1",VLOOKUP(W7,Dicionários!$K$2:$L$22,2,0)),"1")</f>
        <v>1</v>
      </c>
      <c r="Y7" s="17" t="s">
        <v>164</v>
      </c>
      <c r="Z7" s="53">
        <f>IF(Y$1="SIM",IF(Y7="","1",VLOOKUP(Y7,Dicionários!$M$2:$N$12,2,0)),"1")</f>
        <v>1.45</v>
      </c>
      <c r="AA7" s="17">
        <v>1</v>
      </c>
      <c r="AB7" s="65"/>
      <c r="AC7" s="17" t="s">
        <v>137</v>
      </c>
      <c r="AD7" s="53">
        <f>IF(AC$1="SIM",IF(AC7="","1",VLOOKUP(AC7,Dicionários!$O$2:$Q$22,$AD$2,0)),"1")</f>
        <v>1.0609999999999999</v>
      </c>
      <c r="AE7" s="28">
        <v>696150</v>
      </c>
      <c r="AF7" s="54">
        <f t="shared" si="12"/>
        <v>7898.2300884955748</v>
      </c>
      <c r="AG7" s="27">
        <v>0.9</v>
      </c>
      <c r="AH7" s="54">
        <f t="shared" si="13"/>
        <v>7108.4070796460173</v>
      </c>
      <c r="AI7" s="47"/>
      <c r="AJ7" s="55">
        <f t="shared" si="14"/>
        <v>0.97933333333333339</v>
      </c>
      <c r="AK7" s="56">
        <f t="shared" si="15"/>
        <v>1.8599999999999994</v>
      </c>
      <c r="AL7" s="56">
        <f t="shared" si="16"/>
        <v>27</v>
      </c>
      <c r="AM7" s="55">
        <f t="shared" si="17"/>
        <v>0.25</v>
      </c>
      <c r="AN7" s="57"/>
      <c r="AO7" s="55" t="str">
        <f t="shared" si="18"/>
        <v/>
      </c>
      <c r="AP7" s="56">
        <f t="shared" si="1"/>
        <v>0</v>
      </c>
      <c r="AQ7" s="56">
        <f t="shared" si="2"/>
        <v>0</v>
      </c>
      <c r="AR7" s="55">
        <f t="shared" si="19"/>
        <v>0.25</v>
      </c>
      <c r="AS7" s="58"/>
      <c r="AT7" s="59">
        <f t="shared" si="3"/>
        <v>0</v>
      </c>
      <c r="AU7" s="59">
        <f t="shared" si="4"/>
        <v>1</v>
      </c>
      <c r="AV7" s="47"/>
      <c r="AW7" s="60">
        <f t="shared" si="20"/>
        <v>1</v>
      </c>
      <c r="AX7" s="60">
        <f t="shared" si="21"/>
        <v>0.99479280197533904</v>
      </c>
      <c r="AY7" s="60">
        <f t="shared" si="22"/>
        <v>1</v>
      </c>
      <c r="AZ7" s="60">
        <f t="shared" si="23"/>
        <v>1</v>
      </c>
      <c r="BA7" s="60">
        <f t="shared" si="24"/>
        <v>1</v>
      </c>
      <c r="BB7" s="60">
        <f t="shared" si="25"/>
        <v>1</v>
      </c>
      <c r="BC7" s="60">
        <f t="shared" si="26"/>
        <v>1</v>
      </c>
      <c r="BD7" s="60">
        <f t="shared" si="27"/>
        <v>1</v>
      </c>
      <c r="BE7" s="60">
        <f t="shared" si="28"/>
        <v>1</v>
      </c>
      <c r="BF7" s="60">
        <f t="shared" si="29"/>
        <v>1</v>
      </c>
      <c r="BG7" s="60">
        <f t="shared" si="30"/>
        <v>1</v>
      </c>
      <c r="BH7" s="60">
        <f t="shared" si="5"/>
        <v>1.0669999999999999</v>
      </c>
      <c r="BI7" s="60">
        <f t="shared" si="31"/>
        <v>0.98020735155513672</v>
      </c>
      <c r="BJ7" s="61">
        <f t="shared" si="6"/>
        <v>1.0420001535304757</v>
      </c>
      <c r="BK7" s="47"/>
      <c r="BL7" s="62">
        <f t="shared" si="7"/>
        <v>7406.9612683482701</v>
      </c>
      <c r="BM7" s="62">
        <f t="shared" si="8"/>
        <v>7406.9612683482701</v>
      </c>
      <c r="BN7" s="62">
        <f t="shared" si="9"/>
        <v>0.82472509920651915</v>
      </c>
      <c r="BO7" s="62">
        <f>IF(BM7="","",VLOOKUP($BU$16,Dicionários!$S$2:$T$31,2,0))</f>
        <v>2.06</v>
      </c>
      <c r="BP7" s="62" t="str">
        <f t="shared" si="10"/>
        <v>ACEITO</v>
      </c>
      <c r="BQ7" s="47"/>
      <c r="BR7" s="117" t="s">
        <v>219</v>
      </c>
      <c r="BT7" s="128" t="s">
        <v>190</v>
      </c>
      <c r="BU7" s="133">
        <f>SMALL($BL$3:$BL$17,1)</f>
        <v>5154.3971500261541</v>
      </c>
      <c r="BV7" s="64"/>
      <c r="BW7" s="158" t="s">
        <v>208</v>
      </c>
      <c r="BX7" s="159"/>
      <c r="BY7" s="159"/>
      <c r="BZ7" s="160">
        <f>BU18</f>
        <v>6810.0424451646186</v>
      </c>
      <c r="CA7" s="160"/>
      <c r="CB7" s="90"/>
      <c r="CC7" s="91"/>
      <c r="CE7" s="144"/>
      <c r="CF7" s="145"/>
      <c r="CG7" s="145"/>
      <c r="CH7" s="145"/>
      <c r="CI7" s="145"/>
      <c r="CJ7" s="146"/>
    </row>
    <row r="8" spans="1:88" s="63" customFormat="1" ht="28.5" customHeight="1" thickBot="1" x14ac:dyDescent="0.3">
      <c r="A8" s="118">
        <v>6</v>
      </c>
      <c r="B8" s="16" t="s">
        <v>263</v>
      </c>
      <c r="C8" s="14">
        <v>1.1000000000000001</v>
      </c>
      <c r="D8" s="49">
        <f t="shared" si="11"/>
        <v>1.1000000000000001</v>
      </c>
      <c r="E8" s="18">
        <v>81.430000000000007</v>
      </c>
      <c r="F8" s="66"/>
      <c r="G8" s="18"/>
      <c r="H8" s="66"/>
      <c r="I8" s="18"/>
      <c r="J8" s="66"/>
      <c r="K8" s="51" t="str">
        <f t="shared" si="0"/>
        <v/>
      </c>
      <c r="L8" s="67"/>
      <c r="M8" s="14"/>
      <c r="N8" s="53" t="str">
        <f>IF(M$1="SIM",IF(M8="","1",VLOOKUP(M8,Dicionários!$A$2:$B$22,2,0)),"1")</f>
        <v>1</v>
      </c>
      <c r="O8" s="14"/>
      <c r="P8" s="53" t="str">
        <f>IF(O$1="SIM",IF(O8="","1",VLOOKUP(O8,Dicionários!$C$2:$D$22,2,0)),"1")</f>
        <v>1</v>
      </c>
      <c r="Q8" s="14"/>
      <c r="R8" s="53" t="str">
        <f>IF(Q$1="SIM",IF(Q8="","1",VLOOKUP(Q8,Dicionários!$E$2:$F$22,2,0)),"1")</f>
        <v>1</v>
      </c>
      <c r="S8" s="14"/>
      <c r="T8" s="53" t="str">
        <f>IF(S$1="SIM",IF(S8="","1",VLOOKUP(S8,Dicionários!$G$2:$H$22,2,0)),"1")</f>
        <v>1</v>
      </c>
      <c r="U8" s="14"/>
      <c r="V8" s="53" t="str">
        <f>IF(U$1="SIM",IF(U8="","1",VLOOKUP(U8,Dicionários!$I$2:$J$22,2,0)),"1")</f>
        <v>1</v>
      </c>
      <c r="W8" s="17"/>
      <c r="X8" s="53" t="str">
        <f>IF(W$1="SIM",IF(W8="","1",VLOOKUP(W8,Dicionários!$K$2:$L$22,2,0)),"1")</f>
        <v>1</v>
      </c>
      <c r="Y8" s="17" t="s">
        <v>164</v>
      </c>
      <c r="Z8" s="53">
        <f>IF(Y$1="SIM",IF(Y8="","1",VLOOKUP(Y8,Dicionários!$M$2:$N$12,2,0)),"1")</f>
        <v>1.45</v>
      </c>
      <c r="AA8" s="17">
        <v>1</v>
      </c>
      <c r="AB8" s="65"/>
      <c r="AC8" s="17" t="s">
        <v>136</v>
      </c>
      <c r="AD8" s="53">
        <f>IF(AC$1="SIM",IF(AC8="","1",VLOOKUP(AC8,Dicionários!$O$2:$Q$22,$AD$2,0)),"1")</f>
        <v>1.04</v>
      </c>
      <c r="AE8" s="28">
        <v>650000</v>
      </c>
      <c r="AF8" s="54">
        <f t="shared" si="12"/>
        <v>7982.3160997175482</v>
      </c>
      <c r="AG8" s="27">
        <v>0.9</v>
      </c>
      <c r="AH8" s="54">
        <f t="shared" si="13"/>
        <v>7184.0844897457937</v>
      </c>
      <c r="AI8" s="47"/>
      <c r="AJ8" s="55">
        <f t="shared" si="14"/>
        <v>0.9047777777777779</v>
      </c>
      <c r="AK8" s="56">
        <f t="shared" si="15"/>
        <v>8.5699999999999932</v>
      </c>
      <c r="AL8" s="56">
        <f t="shared" si="16"/>
        <v>27</v>
      </c>
      <c r="AM8" s="55">
        <f t="shared" si="17"/>
        <v>0.25</v>
      </c>
      <c r="AN8" s="57"/>
      <c r="AO8" s="55" t="str">
        <f t="shared" si="18"/>
        <v/>
      </c>
      <c r="AP8" s="56">
        <f t="shared" si="1"/>
        <v>0</v>
      </c>
      <c r="AQ8" s="56">
        <f t="shared" si="2"/>
        <v>0</v>
      </c>
      <c r="AR8" s="55">
        <f t="shared" si="19"/>
        <v>0.25</v>
      </c>
      <c r="AS8" s="58"/>
      <c r="AT8" s="59">
        <f t="shared" si="3"/>
        <v>0</v>
      </c>
      <c r="AU8" s="59">
        <f t="shared" si="4"/>
        <v>1</v>
      </c>
      <c r="AV8" s="47"/>
      <c r="AW8" s="60">
        <f t="shared" si="20"/>
        <v>1</v>
      </c>
      <c r="AX8" s="60">
        <f t="shared" si="21"/>
        <v>0.97529384030881627</v>
      </c>
      <c r="AY8" s="60">
        <f t="shared" si="22"/>
        <v>1</v>
      </c>
      <c r="AZ8" s="60">
        <f t="shared" si="23"/>
        <v>1</v>
      </c>
      <c r="BA8" s="60">
        <f t="shared" si="24"/>
        <v>1</v>
      </c>
      <c r="BB8" s="60">
        <f t="shared" si="25"/>
        <v>1</v>
      </c>
      <c r="BC8" s="60">
        <f t="shared" si="26"/>
        <v>1</v>
      </c>
      <c r="BD8" s="60">
        <f t="shared" si="27"/>
        <v>1</v>
      </c>
      <c r="BE8" s="60">
        <f t="shared" si="28"/>
        <v>1</v>
      </c>
      <c r="BF8" s="60">
        <f t="shared" si="29"/>
        <v>1</v>
      </c>
      <c r="BG8" s="60">
        <f t="shared" si="30"/>
        <v>1</v>
      </c>
      <c r="BH8" s="60">
        <f t="shared" si="5"/>
        <v>1.0669999999999999</v>
      </c>
      <c r="BI8" s="60">
        <f t="shared" si="31"/>
        <v>1</v>
      </c>
      <c r="BJ8" s="61">
        <f t="shared" si="6"/>
        <v>1.0422938403088162</v>
      </c>
      <c r="BK8" s="47"/>
      <c r="BL8" s="62">
        <f t="shared" si="7"/>
        <v>7487.9270119201456</v>
      </c>
      <c r="BM8" s="62">
        <f t="shared" si="8"/>
        <v>7487.9270119201456</v>
      </c>
      <c r="BN8" s="62">
        <f t="shared" si="9"/>
        <v>0.71432730053667493</v>
      </c>
      <c r="BO8" s="62">
        <f>IF(BM8="","",VLOOKUP($BU$16,Dicionários!$S$2:$T$31,2,0))</f>
        <v>2.06</v>
      </c>
      <c r="BP8" s="62" t="str">
        <f t="shared" si="10"/>
        <v>ACEITO</v>
      </c>
      <c r="BQ8" s="47"/>
      <c r="BR8" s="117" t="s">
        <v>219</v>
      </c>
      <c r="BT8" s="128" t="s">
        <v>206</v>
      </c>
      <c r="BU8" s="133">
        <f>1.15*$BU$4</f>
        <v>8994.5181632392869</v>
      </c>
      <c r="BV8" s="64"/>
      <c r="BW8" s="158" t="s">
        <v>209</v>
      </c>
      <c r="BX8" s="159"/>
      <c r="BY8" s="159"/>
      <c r="BZ8" s="160">
        <f>BU17</f>
        <v>9213.58683757566</v>
      </c>
      <c r="CA8" s="160"/>
      <c r="CB8" s="90"/>
      <c r="CC8" s="91"/>
      <c r="CE8" s="144"/>
      <c r="CF8" s="145"/>
      <c r="CG8" s="145"/>
      <c r="CH8" s="145"/>
      <c r="CI8" s="145"/>
      <c r="CJ8" s="146"/>
    </row>
    <row r="9" spans="1:88" s="63" customFormat="1" ht="28.5" customHeight="1" thickBot="1" x14ac:dyDescent="0.3">
      <c r="A9" s="116">
        <v>7</v>
      </c>
      <c r="B9" s="16" t="s">
        <v>264</v>
      </c>
      <c r="C9" s="14">
        <v>1.1000000000000001</v>
      </c>
      <c r="D9" s="49">
        <f t="shared" si="11"/>
        <v>1.1000000000000001</v>
      </c>
      <c r="E9" s="18">
        <v>88.14</v>
      </c>
      <c r="F9" s="66"/>
      <c r="G9" s="18"/>
      <c r="H9" s="66"/>
      <c r="I9" s="18"/>
      <c r="J9" s="66"/>
      <c r="K9" s="51" t="str">
        <f t="shared" si="0"/>
        <v/>
      </c>
      <c r="L9" s="67"/>
      <c r="M9" s="14"/>
      <c r="N9" s="53" t="str">
        <f>IF(M$1="SIM",IF(M9="","1",VLOOKUP(M9,Dicionários!$A$2:$B$22,2,0)),"1")</f>
        <v>1</v>
      </c>
      <c r="O9" s="14"/>
      <c r="P9" s="53" t="str">
        <f>IF(O$1="SIM",IF(O9="","1",VLOOKUP(O9,Dicionários!$C$2:$D$22,2,0)),"1")</f>
        <v>1</v>
      </c>
      <c r="Q9" s="14"/>
      <c r="R9" s="53" t="str">
        <f>IF(Q$1="SIM",IF(Q9="","1",VLOOKUP(Q9,Dicionários!$E$2:$F$22,2,0)),"1")</f>
        <v>1</v>
      </c>
      <c r="S9" s="14"/>
      <c r="T9" s="53" t="str">
        <f>IF(S$1="SIM",IF(S9="","1",VLOOKUP(S9,Dicionários!$G$2:$H$22,2,0)),"1")</f>
        <v>1</v>
      </c>
      <c r="U9" s="14"/>
      <c r="V9" s="53" t="str">
        <f>IF(U$1="SIM",IF(U9="","1",VLOOKUP(U9,Dicionários!$I$2:$J$22,2,0)),"1")</f>
        <v>1</v>
      </c>
      <c r="W9" s="17"/>
      <c r="X9" s="53" t="str">
        <f>IF(W$1="SIM",IF(W9="","1",VLOOKUP(W9,Dicionários!$K$2:$L$22,2,0)),"1")</f>
        <v>1</v>
      </c>
      <c r="Y9" s="17" t="s">
        <v>164</v>
      </c>
      <c r="Z9" s="53">
        <f>IF(Y$1="SIM",IF(Y9="","1",VLOOKUP(Y9,Dicionários!$M$2:$N$12,2,0)),"1")</f>
        <v>1.45</v>
      </c>
      <c r="AA9" s="17">
        <v>1</v>
      </c>
      <c r="AB9" s="65"/>
      <c r="AC9" s="17" t="s">
        <v>138</v>
      </c>
      <c r="AD9" s="53">
        <f>IF(AC$1="SIM",IF(AC9="","1",VLOOKUP(AC9,Dicionários!$O$2:$Q$22,$AD$2,0)),"1")</f>
        <v>1.0820000000000001</v>
      </c>
      <c r="AE9" s="28">
        <v>703800</v>
      </c>
      <c r="AF9" s="54">
        <f t="shared" si="12"/>
        <v>7985.0238257317906</v>
      </c>
      <c r="AG9" s="27">
        <v>0.9</v>
      </c>
      <c r="AH9" s="54">
        <f t="shared" si="13"/>
        <v>7186.5214431586119</v>
      </c>
      <c r="AI9" s="47"/>
      <c r="AJ9" s="55">
        <f t="shared" si="14"/>
        <v>0.97933333333333339</v>
      </c>
      <c r="AK9" s="56">
        <f t="shared" si="15"/>
        <v>1.8599999999999994</v>
      </c>
      <c r="AL9" s="56">
        <f t="shared" si="16"/>
        <v>27</v>
      </c>
      <c r="AM9" s="55">
        <f t="shared" si="17"/>
        <v>0.25</v>
      </c>
      <c r="AN9" s="57"/>
      <c r="AO9" s="55" t="str">
        <f t="shared" si="18"/>
        <v/>
      </c>
      <c r="AP9" s="56">
        <f t="shared" si="1"/>
        <v>0</v>
      </c>
      <c r="AQ9" s="56">
        <f t="shared" si="2"/>
        <v>0</v>
      </c>
      <c r="AR9" s="55">
        <f t="shared" si="19"/>
        <v>0.25</v>
      </c>
      <c r="AS9" s="58"/>
      <c r="AT9" s="59">
        <f t="shared" si="3"/>
        <v>0</v>
      </c>
      <c r="AU9" s="59">
        <f t="shared" si="4"/>
        <v>1</v>
      </c>
      <c r="AV9" s="47"/>
      <c r="AW9" s="60">
        <f t="shared" si="20"/>
        <v>1</v>
      </c>
      <c r="AX9" s="60">
        <f t="shared" si="21"/>
        <v>0.99479280197533904</v>
      </c>
      <c r="AY9" s="60">
        <f t="shared" si="22"/>
        <v>1</v>
      </c>
      <c r="AZ9" s="60">
        <f t="shared" si="23"/>
        <v>1</v>
      </c>
      <c r="BA9" s="60">
        <f t="shared" si="24"/>
        <v>1</v>
      </c>
      <c r="BB9" s="60">
        <f t="shared" si="25"/>
        <v>1</v>
      </c>
      <c r="BC9" s="60">
        <f t="shared" si="26"/>
        <v>1</v>
      </c>
      <c r="BD9" s="60">
        <f t="shared" si="27"/>
        <v>1</v>
      </c>
      <c r="BE9" s="60">
        <f t="shared" si="28"/>
        <v>1</v>
      </c>
      <c r="BF9" s="60">
        <f t="shared" si="29"/>
        <v>1</v>
      </c>
      <c r="BG9" s="60">
        <f t="shared" si="30"/>
        <v>1</v>
      </c>
      <c r="BH9" s="60">
        <f t="shared" si="5"/>
        <v>1.0669999999999999</v>
      </c>
      <c r="BI9" s="60">
        <f t="shared" si="31"/>
        <v>0.96118299445471345</v>
      </c>
      <c r="BJ9" s="61">
        <f t="shared" si="6"/>
        <v>1.0229757964300525</v>
      </c>
      <c r="BK9" s="47"/>
      <c r="BL9" s="62">
        <f t="shared" si="7"/>
        <v>7351.6374968768314</v>
      </c>
      <c r="BM9" s="62">
        <f t="shared" si="8"/>
        <v>7351.6374968768314</v>
      </c>
      <c r="BN9" s="62">
        <f t="shared" si="9"/>
        <v>0.90015974990096337</v>
      </c>
      <c r="BO9" s="62">
        <f>IF(BM9="","",VLOOKUP($BU$16,Dicionários!$S$2:$T$31,2,0))</f>
        <v>2.06</v>
      </c>
      <c r="BP9" s="62" t="str">
        <f t="shared" si="10"/>
        <v>ACEITO</v>
      </c>
      <c r="BQ9" s="47"/>
      <c r="BR9" s="117" t="s">
        <v>219</v>
      </c>
      <c r="BT9" s="128" t="s">
        <v>207</v>
      </c>
      <c r="BU9" s="133">
        <f>0.85*$BU$4</f>
        <v>6648.1221206551254</v>
      </c>
      <c r="BW9" s="158" t="s">
        <v>210</v>
      </c>
      <c r="BX9" s="159"/>
      <c r="BY9" s="159"/>
      <c r="BZ9" s="160">
        <f>BU20</f>
        <v>7737.2130894200063</v>
      </c>
      <c r="CA9" s="160"/>
      <c r="CB9" s="90"/>
      <c r="CC9" s="91"/>
      <c r="CE9" s="144"/>
      <c r="CF9" s="145"/>
      <c r="CG9" s="145"/>
      <c r="CH9" s="145"/>
      <c r="CI9" s="145"/>
      <c r="CJ9" s="146"/>
    </row>
    <row r="10" spans="1:88" s="63" customFormat="1" ht="28.5" customHeight="1" thickBot="1" x14ac:dyDescent="0.3">
      <c r="A10" s="118">
        <v>8</v>
      </c>
      <c r="B10" s="16" t="s">
        <v>264</v>
      </c>
      <c r="C10" s="14">
        <v>1.1000000000000001</v>
      </c>
      <c r="D10" s="49">
        <f t="shared" si="11"/>
        <v>1.1000000000000001</v>
      </c>
      <c r="E10" s="18">
        <v>88.14</v>
      </c>
      <c r="F10" s="66"/>
      <c r="G10" s="18"/>
      <c r="H10" s="66"/>
      <c r="I10" s="18"/>
      <c r="J10" s="66"/>
      <c r="K10" s="51" t="str">
        <f t="shared" si="0"/>
        <v/>
      </c>
      <c r="L10" s="67"/>
      <c r="M10" s="14"/>
      <c r="N10" s="53" t="str">
        <f>IF(M$1="SIM",IF(M10="","1",VLOOKUP(M10,Dicionários!$A$2:$B$22,2,0)),"1")</f>
        <v>1</v>
      </c>
      <c r="O10" s="14"/>
      <c r="P10" s="53" t="str">
        <f>IF(O$1="SIM",IF(O10="","1",VLOOKUP(O10,Dicionários!$C$2:$D$22,2,0)),"1")</f>
        <v>1</v>
      </c>
      <c r="Q10" s="14"/>
      <c r="R10" s="53" t="str">
        <f>IF(Q$1="SIM",IF(Q10="","1",VLOOKUP(Q10,Dicionários!$E$2:$F$22,2,0)),"1")</f>
        <v>1</v>
      </c>
      <c r="S10" s="14"/>
      <c r="T10" s="53" t="str">
        <f>IF(S$1="SIM",IF(S10="","1",VLOOKUP(S10,Dicionários!$G$2:$H$22,2,0)),"1")</f>
        <v>1</v>
      </c>
      <c r="U10" s="14"/>
      <c r="V10" s="53" t="str">
        <f>IF(U$1="SIM",IF(U10="","1",VLOOKUP(U10,Dicionários!$I$2:$J$22,2,0)),"1")</f>
        <v>1</v>
      </c>
      <c r="W10" s="17"/>
      <c r="X10" s="53" t="str">
        <f>IF(W$1="SIM",IF(W10="","1",VLOOKUP(W10,Dicionários!$K$2:$L$22,2,0)),"1")</f>
        <v>1</v>
      </c>
      <c r="Y10" s="17" t="s">
        <v>164</v>
      </c>
      <c r="Z10" s="53">
        <f>IF(Y$1="SIM",IF(Y10="","1",VLOOKUP(Y10,Dicionários!$M$2:$N$12,2,0)),"1")</f>
        <v>1.45</v>
      </c>
      <c r="AA10" s="17">
        <v>1</v>
      </c>
      <c r="AB10" s="65"/>
      <c r="AC10" s="17" t="s">
        <v>138</v>
      </c>
      <c r="AD10" s="53">
        <f>IF(AC$1="SIM",IF(AC10="","1",VLOOKUP(AC10,Dicionários!$O$2:$Q$22,$AD$2,0)),"1")</f>
        <v>1.0820000000000001</v>
      </c>
      <c r="AE10" s="28">
        <v>710736</v>
      </c>
      <c r="AF10" s="54">
        <f t="shared" si="12"/>
        <v>8063.716814159292</v>
      </c>
      <c r="AG10" s="27">
        <v>0.9</v>
      </c>
      <c r="AH10" s="54">
        <f t="shared" si="13"/>
        <v>7257.3451327433631</v>
      </c>
      <c r="AI10" s="47"/>
      <c r="AJ10" s="55">
        <f t="shared" si="14"/>
        <v>0.97933333333333339</v>
      </c>
      <c r="AK10" s="56">
        <f t="shared" si="15"/>
        <v>1.8599999999999994</v>
      </c>
      <c r="AL10" s="56">
        <f t="shared" si="16"/>
        <v>27</v>
      </c>
      <c r="AM10" s="55">
        <f t="shared" si="17"/>
        <v>0.25</v>
      </c>
      <c r="AN10" s="57"/>
      <c r="AO10" s="55" t="str">
        <f t="shared" si="18"/>
        <v/>
      </c>
      <c r="AP10" s="56">
        <f t="shared" si="1"/>
        <v>0</v>
      </c>
      <c r="AQ10" s="56">
        <f t="shared" si="2"/>
        <v>0</v>
      </c>
      <c r="AR10" s="55">
        <f t="shared" si="19"/>
        <v>0.25</v>
      </c>
      <c r="AS10" s="58"/>
      <c r="AT10" s="59">
        <f t="shared" si="3"/>
        <v>0</v>
      </c>
      <c r="AU10" s="59">
        <f t="shared" si="4"/>
        <v>1</v>
      </c>
      <c r="AV10" s="47"/>
      <c r="AW10" s="60">
        <f t="shared" si="20"/>
        <v>1</v>
      </c>
      <c r="AX10" s="60">
        <f t="shared" si="21"/>
        <v>0.99479280197533904</v>
      </c>
      <c r="AY10" s="60">
        <f t="shared" si="22"/>
        <v>1</v>
      </c>
      <c r="AZ10" s="60">
        <f t="shared" si="23"/>
        <v>1</v>
      </c>
      <c r="BA10" s="60">
        <f t="shared" si="24"/>
        <v>1</v>
      </c>
      <c r="BB10" s="60">
        <f t="shared" si="25"/>
        <v>1</v>
      </c>
      <c r="BC10" s="60">
        <f t="shared" si="26"/>
        <v>1</v>
      </c>
      <c r="BD10" s="60">
        <f t="shared" si="27"/>
        <v>1</v>
      </c>
      <c r="BE10" s="60">
        <f t="shared" si="28"/>
        <v>1</v>
      </c>
      <c r="BF10" s="60">
        <f t="shared" si="29"/>
        <v>1</v>
      </c>
      <c r="BG10" s="60">
        <f t="shared" si="30"/>
        <v>1</v>
      </c>
      <c r="BH10" s="60">
        <f t="shared" si="5"/>
        <v>1.0669999999999999</v>
      </c>
      <c r="BI10" s="60">
        <f t="shared" si="31"/>
        <v>0.96118299445471345</v>
      </c>
      <c r="BJ10" s="61">
        <f t="shared" si="6"/>
        <v>1.0229757964300525</v>
      </c>
      <c r="BK10" s="47"/>
      <c r="BL10" s="62">
        <f t="shared" si="7"/>
        <v>7424.0884171359075</v>
      </c>
      <c r="BM10" s="62">
        <f t="shared" si="8"/>
        <v>7424.0884171359075</v>
      </c>
      <c r="BN10" s="62">
        <f t="shared" si="9"/>
        <v>0.80137201875259179</v>
      </c>
      <c r="BO10" s="62">
        <f>IF(BM10="","",VLOOKUP($BU$16,Dicionários!$S$2:$T$31,2,0))</f>
        <v>2.06</v>
      </c>
      <c r="BP10" s="62" t="str">
        <f t="shared" si="10"/>
        <v>ACEITO</v>
      </c>
      <c r="BQ10" s="47"/>
      <c r="BR10" s="117" t="s">
        <v>219</v>
      </c>
      <c r="BT10" s="128" t="s">
        <v>191</v>
      </c>
      <c r="BU10" s="133">
        <f>STDEV($BL$3:$BL$17)</f>
        <v>1021.6546223954759</v>
      </c>
      <c r="BW10" s="158" t="s">
        <v>211</v>
      </c>
      <c r="BX10" s="159"/>
      <c r="BY10" s="159"/>
      <c r="BZ10" s="160">
        <f>BU21</f>
        <v>8286.416193320274</v>
      </c>
      <c r="CA10" s="160"/>
      <c r="CB10" s="90"/>
      <c r="CC10" s="91"/>
      <c r="CE10" s="144"/>
      <c r="CF10" s="145"/>
      <c r="CG10" s="145"/>
      <c r="CH10" s="145"/>
      <c r="CI10" s="145"/>
      <c r="CJ10" s="146"/>
    </row>
    <row r="11" spans="1:88" s="63" customFormat="1" ht="28.5" customHeight="1" thickBot="1" x14ac:dyDescent="0.3">
      <c r="A11" s="116">
        <v>9</v>
      </c>
      <c r="B11" s="16" t="s">
        <v>264</v>
      </c>
      <c r="C11" s="14">
        <v>1.1000000000000001</v>
      </c>
      <c r="D11" s="49">
        <f t="shared" si="11"/>
        <v>1.1000000000000001</v>
      </c>
      <c r="E11" s="18">
        <v>88.14</v>
      </c>
      <c r="F11" s="66"/>
      <c r="G11" s="18"/>
      <c r="H11" s="66"/>
      <c r="I11" s="18"/>
      <c r="J11" s="66"/>
      <c r="K11" s="51" t="str">
        <f t="shared" si="0"/>
        <v/>
      </c>
      <c r="L11" s="67"/>
      <c r="M11" s="14"/>
      <c r="N11" s="53" t="str">
        <f>IF(M$1="SIM",IF(M11="","1",VLOOKUP(M11,Dicionários!$A$2:$B$22,2,0)),"1")</f>
        <v>1</v>
      </c>
      <c r="O11" s="14"/>
      <c r="P11" s="53" t="str">
        <f>IF(O$1="SIM",IF(O11="","1",VLOOKUP(O11,Dicionários!$C$2:$D$22,2,0)),"1")</f>
        <v>1</v>
      </c>
      <c r="Q11" s="14"/>
      <c r="R11" s="53" t="str">
        <f>IF(Q$1="SIM",IF(Q11="","1",VLOOKUP(Q11,Dicionários!$E$2:$F$22,2,0)),"1")</f>
        <v>1</v>
      </c>
      <c r="S11" s="14"/>
      <c r="T11" s="53" t="str">
        <f>IF(S$1="SIM",IF(S11="","1",VLOOKUP(S11,Dicionários!$G$2:$H$22,2,0)),"1")</f>
        <v>1</v>
      </c>
      <c r="U11" s="14"/>
      <c r="V11" s="53" t="str">
        <f>IF(U$1="SIM",IF(U11="","1",VLOOKUP(U11,Dicionários!$I$2:$J$22,2,0)),"1")</f>
        <v>1</v>
      </c>
      <c r="W11" s="17"/>
      <c r="X11" s="53" t="str">
        <f>IF(W$1="SIM",IF(W11="","1",VLOOKUP(W11,Dicionários!$K$2:$L$22,2,0)),"1")</f>
        <v>1</v>
      </c>
      <c r="Y11" s="17" t="s">
        <v>164</v>
      </c>
      <c r="Z11" s="53">
        <f>IF(Y$1="SIM",IF(Y11="","1",VLOOKUP(Y11,Dicionários!$M$2:$N$12,2,0)),"1")</f>
        <v>1.45</v>
      </c>
      <c r="AA11" s="17">
        <v>1</v>
      </c>
      <c r="AB11" s="65"/>
      <c r="AC11" s="17" t="s">
        <v>139</v>
      </c>
      <c r="AD11" s="53">
        <f>IF(AC$1="SIM",IF(AC11="","1",VLOOKUP(AC11,Dicionários!$O$2:$Q$22,$AD$2,0)),"1")</f>
        <v>1.1040000000000001</v>
      </c>
      <c r="AE11" s="28">
        <v>728222.8</v>
      </c>
      <c r="AF11" s="54">
        <f t="shared" si="12"/>
        <v>8262.1148173360561</v>
      </c>
      <c r="AG11" s="27">
        <v>0.9</v>
      </c>
      <c r="AH11" s="54">
        <f t="shared" si="13"/>
        <v>7435.9033356024511</v>
      </c>
      <c r="AI11" s="47"/>
      <c r="AJ11" s="55">
        <f t="shared" si="14"/>
        <v>0.97933333333333339</v>
      </c>
      <c r="AK11" s="56">
        <f t="shared" si="15"/>
        <v>1.8599999999999994</v>
      </c>
      <c r="AL11" s="56">
        <f t="shared" si="16"/>
        <v>27</v>
      </c>
      <c r="AM11" s="55">
        <f t="shared" si="17"/>
        <v>0.25</v>
      </c>
      <c r="AN11" s="57"/>
      <c r="AO11" s="55" t="str">
        <f t="shared" si="18"/>
        <v/>
      </c>
      <c r="AP11" s="56">
        <f t="shared" si="1"/>
        <v>0</v>
      </c>
      <c r="AQ11" s="56">
        <f t="shared" si="2"/>
        <v>0</v>
      </c>
      <c r="AR11" s="55">
        <f t="shared" si="19"/>
        <v>0.25</v>
      </c>
      <c r="AS11" s="58"/>
      <c r="AT11" s="59">
        <f t="shared" si="3"/>
        <v>0</v>
      </c>
      <c r="AU11" s="59">
        <f t="shared" si="4"/>
        <v>1</v>
      </c>
      <c r="AV11" s="47"/>
      <c r="AW11" s="60">
        <f t="shared" si="20"/>
        <v>1</v>
      </c>
      <c r="AX11" s="60">
        <f t="shared" si="21"/>
        <v>0.99479280197533904</v>
      </c>
      <c r="AY11" s="60">
        <f t="shared" si="22"/>
        <v>1</v>
      </c>
      <c r="AZ11" s="60">
        <f t="shared" si="23"/>
        <v>1</v>
      </c>
      <c r="BA11" s="60">
        <f t="shared" si="24"/>
        <v>1</v>
      </c>
      <c r="BB11" s="60">
        <f t="shared" si="25"/>
        <v>1</v>
      </c>
      <c r="BC11" s="60">
        <f t="shared" si="26"/>
        <v>1</v>
      </c>
      <c r="BD11" s="60">
        <f t="shared" si="27"/>
        <v>1</v>
      </c>
      <c r="BE11" s="60">
        <f t="shared" si="28"/>
        <v>1</v>
      </c>
      <c r="BF11" s="60">
        <f t="shared" si="29"/>
        <v>1</v>
      </c>
      <c r="BG11" s="60">
        <f t="shared" si="30"/>
        <v>1</v>
      </c>
      <c r="BH11" s="60">
        <f t="shared" si="5"/>
        <v>1.0669999999999999</v>
      </c>
      <c r="BI11" s="60">
        <f t="shared" si="31"/>
        <v>0.94202898550724634</v>
      </c>
      <c r="BJ11" s="61">
        <f t="shared" si="6"/>
        <v>1.0038217874825854</v>
      </c>
      <c r="BK11" s="47"/>
      <c r="BL11" s="62">
        <f t="shared" si="7"/>
        <v>7464.3217778921717</v>
      </c>
      <c r="BM11" s="62">
        <f t="shared" si="8"/>
        <v>7464.3217778921717</v>
      </c>
      <c r="BN11" s="62">
        <f t="shared" si="9"/>
        <v>0.74651333081084181</v>
      </c>
      <c r="BO11" s="62">
        <f>IF(BM11="","",VLOOKUP($BU$16,Dicionários!$S$2:$T$31,2,0))</f>
        <v>2.06</v>
      </c>
      <c r="BP11" s="62" t="str">
        <f t="shared" si="10"/>
        <v>ACEITO</v>
      </c>
      <c r="BQ11" s="47"/>
      <c r="BR11" s="117" t="s">
        <v>219</v>
      </c>
      <c r="BT11" s="128" t="s">
        <v>192</v>
      </c>
      <c r="BU11" s="133">
        <f>BU10/BU4</f>
        <v>0.1306243196613511</v>
      </c>
      <c r="BW11" s="92" t="s">
        <v>269</v>
      </c>
      <c r="BX11" s="89"/>
      <c r="BY11" s="40"/>
      <c r="BZ11" s="89"/>
      <c r="CA11" s="93"/>
      <c r="CB11" s="90"/>
      <c r="CC11" s="91"/>
      <c r="CE11" s="144"/>
      <c r="CF11" s="145"/>
      <c r="CG11" s="145"/>
      <c r="CH11" s="145"/>
      <c r="CI11" s="145"/>
      <c r="CJ11" s="146"/>
    </row>
    <row r="12" spans="1:88" s="63" customFormat="1" ht="28.5" customHeight="1" thickBot="1" x14ac:dyDescent="0.3">
      <c r="A12" s="118">
        <v>10</v>
      </c>
      <c r="B12" s="16" t="s">
        <v>265</v>
      </c>
      <c r="C12" s="14">
        <v>1.1000000000000001</v>
      </c>
      <c r="D12" s="49">
        <f t="shared" si="11"/>
        <v>1.1000000000000001</v>
      </c>
      <c r="E12" s="18">
        <v>84.93</v>
      </c>
      <c r="F12" s="66"/>
      <c r="G12" s="18"/>
      <c r="H12" s="66"/>
      <c r="I12" s="18"/>
      <c r="J12" s="66"/>
      <c r="K12" s="51" t="str">
        <f t="shared" si="0"/>
        <v/>
      </c>
      <c r="L12" s="67"/>
      <c r="M12" s="14"/>
      <c r="N12" s="53" t="str">
        <f>IF(M$1="SIM",IF(M12="","1",VLOOKUP(M12,Dicionários!$A$2:$B$22,2,0)),"1")</f>
        <v>1</v>
      </c>
      <c r="O12" s="14"/>
      <c r="P12" s="53" t="str">
        <f>IF(O$1="SIM",IF(O12="","1",VLOOKUP(O12,Dicionários!$C$2:$D$22,2,0)),"1")</f>
        <v>1</v>
      </c>
      <c r="Q12" s="14"/>
      <c r="R12" s="53" t="str">
        <f>IF(Q$1="SIM",IF(Q12="","1",VLOOKUP(Q12,Dicionários!$E$2:$F$22,2,0)),"1")</f>
        <v>1</v>
      </c>
      <c r="S12" s="14"/>
      <c r="T12" s="53" t="str">
        <f>IF(S$1="SIM",IF(S12="","1",VLOOKUP(S12,Dicionários!$G$2:$H$22,2,0)),"1")</f>
        <v>1</v>
      </c>
      <c r="U12" s="14"/>
      <c r="V12" s="53" t="str">
        <f>IF(U$1="SIM",IF(U12="","1",VLOOKUP(U12,Dicionários!$I$2:$J$22,2,0)),"1")</f>
        <v>1</v>
      </c>
      <c r="W12" s="17"/>
      <c r="X12" s="53" t="str">
        <f>IF(W$1="SIM",IF(W12="","1",VLOOKUP(W12,Dicionários!$K$2:$L$22,2,0)),"1")</f>
        <v>1</v>
      </c>
      <c r="Y12" s="17" t="s">
        <v>164</v>
      </c>
      <c r="Z12" s="53">
        <f>IF(Y$1="SIM",IF(Y12="","1",VLOOKUP(Y12,Dicionários!$M$2:$N$12,2,0)),"1")</f>
        <v>1.45</v>
      </c>
      <c r="AA12" s="17">
        <v>1</v>
      </c>
      <c r="AB12" s="65"/>
      <c r="AC12" s="17" t="s">
        <v>136</v>
      </c>
      <c r="AD12" s="53">
        <f>IF(AC$1="SIM",IF(AC12="","1",VLOOKUP(AC12,Dicionários!$O$2:$Q$22,$AD$2,0)),"1")</f>
        <v>1.04</v>
      </c>
      <c r="AE12" s="28">
        <v>710200</v>
      </c>
      <c r="AF12" s="54">
        <f t="shared" si="12"/>
        <v>8362.1806193335688</v>
      </c>
      <c r="AG12" s="27">
        <v>0.9</v>
      </c>
      <c r="AH12" s="54">
        <f t="shared" si="13"/>
        <v>7525.9625574002121</v>
      </c>
      <c r="AI12" s="47"/>
      <c r="AJ12" s="55">
        <f t="shared" si="14"/>
        <v>0.94366666666666676</v>
      </c>
      <c r="AK12" s="56">
        <f t="shared" si="15"/>
        <v>5.0699999999999932</v>
      </c>
      <c r="AL12" s="56">
        <f t="shared" si="16"/>
        <v>27</v>
      </c>
      <c r="AM12" s="55">
        <f t="shared" si="17"/>
        <v>0.25</v>
      </c>
      <c r="AN12" s="57"/>
      <c r="AO12" s="55" t="str">
        <f t="shared" si="18"/>
        <v/>
      </c>
      <c r="AP12" s="56">
        <f t="shared" si="1"/>
        <v>0</v>
      </c>
      <c r="AQ12" s="56">
        <f t="shared" si="2"/>
        <v>0</v>
      </c>
      <c r="AR12" s="55">
        <f t="shared" si="19"/>
        <v>0.25</v>
      </c>
      <c r="AS12" s="58"/>
      <c r="AT12" s="59">
        <f t="shared" si="3"/>
        <v>0</v>
      </c>
      <c r="AU12" s="59">
        <f t="shared" si="4"/>
        <v>1</v>
      </c>
      <c r="AV12" s="47"/>
      <c r="AW12" s="60">
        <f t="shared" si="20"/>
        <v>1</v>
      </c>
      <c r="AX12" s="60">
        <f t="shared" si="21"/>
        <v>0.98560898434506017</v>
      </c>
      <c r="AY12" s="60">
        <f t="shared" si="22"/>
        <v>1</v>
      </c>
      <c r="AZ12" s="60">
        <f t="shared" si="23"/>
        <v>1</v>
      </c>
      <c r="BA12" s="60">
        <f t="shared" si="24"/>
        <v>1</v>
      </c>
      <c r="BB12" s="60">
        <f t="shared" si="25"/>
        <v>1</v>
      </c>
      <c r="BC12" s="60">
        <f t="shared" si="26"/>
        <v>1</v>
      </c>
      <c r="BD12" s="60">
        <f t="shared" si="27"/>
        <v>1</v>
      </c>
      <c r="BE12" s="60">
        <f t="shared" si="28"/>
        <v>1</v>
      </c>
      <c r="BF12" s="60">
        <f t="shared" si="29"/>
        <v>1</v>
      </c>
      <c r="BG12" s="60">
        <f t="shared" si="30"/>
        <v>1</v>
      </c>
      <c r="BH12" s="60">
        <f t="shared" si="5"/>
        <v>1.0669999999999999</v>
      </c>
      <c r="BI12" s="60">
        <f t="shared" si="31"/>
        <v>1</v>
      </c>
      <c r="BJ12" s="61">
        <f t="shared" si="6"/>
        <v>1.0526089843450601</v>
      </c>
      <c r="BK12" s="47"/>
      <c r="BL12" s="62">
        <f t="shared" si="7"/>
        <v>7921.8958037639886</v>
      </c>
      <c r="BM12" s="62">
        <f t="shared" si="8"/>
        <v>7921.8958037639886</v>
      </c>
      <c r="BN12" s="62">
        <f t="shared" si="9"/>
        <v>0.12260545377265594</v>
      </c>
      <c r="BO12" s="62">
        <f>IF(BM12="","",VLOOKUP($BU$16,Dicionários!$S$2:$T$31,2,0))</f>
        <v>2.06</v>
      </c>
      <c r="BP12" s="62" t="str">
        <f t="shared" si="10"/>
        <v>ACEITO</v>
      </c>
      <c r="BQ12" s="47"/>
      <c r="BR12" s="117" t="s">
        <v>219</v>
      </c>
      <c r="BT12" s="84" t="s">
        <v>271</v>
      </c>
      <c r="BU12" s="96"/>
      <c r="BW12" s="94" t="s">
        <v>214</v>
      </c>
      <c r="BX12" s="89"/>
      <c r="BY12" s="40"/>
      <c r="BZ12" s="89"/>
      <c r="CA12" s="93"/>
      <c r="CB12" s="90"/>
      <c r="CC12" s="91"/>
      <c r="CE12" s="144"/>
      <c r="CF12" s="145"/>
      <c r="CG12" s="145"/>
      <c r="CH12" s="145"/>
      <c r="CI12" s="145"/>
      <c r="CJ12" s="146"/>
    </row>
    <row r="13" spans="1:88" s="63" customFormat="1" ht="28.5" customHeight="1" thickBot="1" x14ac:dyDescent="0.3">
      <c r="A13" s="116">
        <v>11</v>
      </c>
      <c r="B13" s="16" t="s">
        <v>267</v>
      </c>
      <c r="C13" s="14">
        <v>1</v>
      </c>
      <c r="D13" s="49">
        <f t="shared" si="11"/>
        <v>1</v>
      </c>
      <c r="E13" s="18">
        <v>97.94</v>
      </c>
      <c r="F13" s="66"/>
      <c r="G13" s="18"/>
      <c r="H13" s="66"/>
      <c r="I13" s="18"/>
      <c r="J13" s="66"/>
      <c r="K13" s="51" t="str">
        <f t="shared" si="0"/>
        <v/>
      </c>
      <c r="L13" s="67"/>
      <c r="M13" s="17"/>
      <c r="N13" s="53" t="str">
        <f>IF(M$1="SIM",IF(M13="","1",VLOOKUP(M13,Dicionários!$A$2:$B$22,2,0)),"1")</f>
        <v>1</v>
      </c>
      <c r="O13" s="17"/>
      <c r="P13" s="53" t="str">
        <f>IF(O$1="SIM",IF(O13="","1",VLOOKUP(O13,Dicionários!$C$2:$D$22,2,0)),"1")</f>
        <v>1</v>
      </c>
      <c r="Q13" s="17"/>
      <c r="R13" s="53" t="str">
        <f>IF(Q$1="SIM",IF(Q13="","1",VLOOKUP(Q13,Dicionários!$E$2:$F$22,2,0)),"1")</f>
        <v>1</v>
      </c>
      <c r="S13" s="17"/>
      <c r="T13" s="53" t="str">
        <f>IF(S$1="SIM",IF(S13="","1",VLOOKUP(S13,Dicionários!$G$2:$H$22,2,0)),"1")</f>
        <v>1</v>
      </c>
      <c r="U13" s="17"/>
      <c r="V13" s="53" t="str">
        <f>IF(U$1="SIM",IF(U13="","1",VLOOKUP(U13,Dicionários!$I$2:$J$22,2,0)),"1")</f>
        <v>1</v>
      </c>
      <c r="W13" s="17"/>
      <c r="X13" s="53" t="str">
        <f>IF(W$1="SIM",IF(W13="","1",VLOOKUP(W13,Dicionários!$K$2:$L$22,2,0)),"1")</f>
        <v>1</v>
      </c>
      <c r="Y13" s="17" t="s">
        <v>164</v>
      </c>
      <c r="Z13" s="53">
        <f>IF(Y$1="SIM",IF(Y13="","1",VLOOKUP(Y13,Dicionários!$M$2:$N$12,2,0)),"1")</f>
        <v>1.45</v>
      </c>
      <c r="AA13" s="17">
        <v>1</v>
      </c>
      <c r="AB13" s="65"/>
      <c r="AC13" s="17" t="s">
        <v>137</v>
      </c>
      <c r="AD13" s="53">
        <f>IF(AC$1="SIM",IF(AC13="","1",VLOOKUP(AC13,Dicionários!$O$2:$Q$22,$AD$2,0)),"1")</f>
        <v>1.0609999999999999</v>
      </c>
      <c r="AE13" s="28">
        <v>480000</v>
      </c>
      <c r="AF13" s="54">
        <f t="shared" si="12"/>
        <v>4900.9597712885443</v>
      </c>
      <c r="AG13" s="27">
        <v>0.9</v>
      </c>
      <c r="AH13" s="54">
        <f t="shared" si="13"/>
        <v>4410.8637941596899</v>
      </c>
      <c r="AI13" s="47"/>
      <c r="AJ13" s="55">
        <f t="shared" si="14"/>
        <v>1.0882222222222222</v>
      </c>
      <c r="AK13" s="56">
        <f t="shared" si="15"/>
        <v>7.9399999999999977</v>
      </c>
      <c r="AL13" s="56">
        <f t="shared" si="16"/>
        <v>27</v>
      </c>
      <c r="AM13" s="55">
        <f t="shared" si="17"/>
        <v>0.25</v>
      </c>
      <c r="AN13" s="57"/>
      <c r="AO13" s="55" t="str">
        <f t="shared" si="18"/>
        <v/>
      </c>
      <c r="AP13" s="56">
        <f t="shared" si="1"/>
        <v>0</v>
      </c>
      <c r="AQ13" s="56">
        <f t="shared" si="2"/>
        <v>0</v>
      </c>
      <c r="AR13" s="55">
        <f t="shared" si="19"/>
        <v>0.25</v>
      </c>
      <c r="AS13" s="58"/>
      <c r="AT13" s="59">
        <f t="shared" si="3"/>
        <v>0</v>
      </c>
      <c r="AU13" s="59">
        <f t="shared" si="4"/>
        <v>1</v>
      </c>
      <c r="AV13" s="47"/>
      <c r="AW13" s="60">
        <f t="shared" si="20"/>
        <v>1.1000000000000001</v>
      </c>
      <c r="AX13" s="60">
        <f t="shared" si="21"/>
        <v>1.0213612986151444</v>
      </c>
      <c r="AY13" s="60">
        <f t="shared" si="22"/>
        <v>1</v>
      </c>
      <c r="AZ13" s="60">
        <f t="shared" si="23"/>
        <v>1</v>
      </c>
      <c r="BA13" s="60">
        <f t="shared" si="24"/>
        <v>1</v>
      </c>
      <c r="BB13" s="60">
        <f t="shared" si="25"/>
        <v>1</v>
      </c>
      <c r="BC13" s="60">
        <f t="shared" si="26"/>
        <v>1</v>
      </c>
      <c r="BD13" s="60">
        <f t="shared" si="27"/>
        <v>1</v>
      </c>
      <c r="BE13" s="60">
        <f t="shared" si="28"/>
        <v>1</v>
      </c>
      <c r="BF13" s="60">
        <f t="shared" si="29"/>
        <v>1</v>
      </c>
      <c r="BG13" s="60">
        <f t="shared" si="30"/>
        <v>1</v>
      </c>
      <c r="BH13" s="60">
        <f t="shared" si="5"/>
        <v>1.0669999999999999</v>
      </c>
      <c r="BI13" s="60">
        <f t="shared" si="31"/>
        <v>0.98020735155513672</v>
      </c>
      <c r="BJ13" s="61">
        <f t="shared" si="6"/>
        <v>1.1685686501702812</v>
      </c>
      <c r="BK13" s="47"/>
      <c r="BL13" s="62">
        <f t="shared" si="7"/>
        <v>5154.3971500261541</v>
      </c>
      <c r="BM13" s="62" t="str">
        <f t="shared" si="8"/>
        <v/>
      </c>
      <c r="BN13" s="62" t="str">
        <f t="shared" si="9"/>
        <v/>
      </c>
      <c r="BO13" s="62" t="str">
        <f>IF(BM13="","",VLOOKUP($BU$16,Dicionários!$S$2:$T$31,2,0))</f>
        <v/>
      </c>
      <c r="BP13" s="62" t="str">
        <f t="shared" si="10"/>
        <v/>
      </c>
      <c r="BQ13" s="47"/>
      <c r="BR13" s="117" t="s">
        <v>270</v>
      </c>
      <c r="BT13" s="128" t="s">
        <v>193</v>
      </c>
      <c r="BU13" s="132" cm="1">
        <f t="array" ref="BU13">SUMPRODUCT(--(BM3:BM17&lt;&gt;""),--(BR3:BR17="SIM"))</f>
        <v>14</v>
      </c>
      <c r="BW13" s="158" t="s">
        <v>213</v>
      </c>
      <c r="BX13" s="159"/>
      <c r="BY13" s="159"/>
      <c r="BZ13" s="160">
        <f>$BZ$3*BZ6</f>
        <v>721063.31772331253</v>
      </c>
      <c r="CA13" s="160"/>
      <c r="CB13" s="90"/>
      <c r="CC13" s="91"/>
      <c r="CE13" s="94" t="s">
        <v>216</v>
      </c>
      <c r="CF13" s="100"/>
      <c r="CG13" s="100"/>
      <c r="CH13" s="100"/>
      <c r="CI13" s="100"/>
      <c r="CJ13" s="101"/>
    </row>
    <row r="14" spans="1:88" s="63" customFormat="1" ht="28.5" customHeight="1" thickBot="1" x14ac:dyDescent="0.3">
      <c r="A14" s="118">
        <v>12</v>
      </c>
      <c r="B14" s="16" t="s">
        <v>267</v>
      </c>
      <c r="C14" s="14">
        <v>1</v>
      </c>
      <c r="D14" s="49">
        <f t="shared" si="11"/>
        <v>1</v>
      </c>
      <c r="E14" s="18">
        <v>91.44</v>
      </c>
      <c r="F14" s="66"/>
      <c r="G14" s="18"/>
      <c r="H14" s="66"/>
      <c r="I14" s="18"/>
      <c r="J14" s="66"/>
      <c r="K14" s="51" t="str">
        <f t="shared" si="0"/>
        <v/>
      </c>
      <c r="L14" s="67"/>
      <c r="M14" s="17"/>
      <c r="N14" s="53" t="str">
        <f>IF(M$1="SIM",IF(M14="","1",VLOOKUP(M14,Dicionários!$A$2:$B$22,2,0)),"1")</f>
        <v>1</v>
      </c>
      <c r="O14" s="17"/>
      <c r="P14" s="53" t="str">
        <f>IF(O$1="SIM",IF(O14="","1",VLOOKUP(O14,Dicionários!$C$2:$D$22,2,0)),"1")</f>
        <v>1</v>
      </c>
      <c r="Q14" s="17"/>
      <c r="R14" s="53" t="str">
        <f>IF(Q$1="SIM",IF(Q14="","1",VLOOKUP(Q14,Dicionários!$E$2:$F$22,2,0)),"1")</f>
        <v>1</v>
      </c>
      <c r="S14" s="17"/>
      <c r="T14" s="53" t="str">
        <f>IF(S$1="SIM",IF(S14="","1",VLOOKUP(S14,Dicionários!$G$2:$H$22,2,0)),"1")</f>
        <v>1</v>
      </c>
      <c r="U14" s="17"/>
      <c r="V14" s="53" t="str">
        <f>IF(U$1="SIM",IF(U14="","1",VLOOKUP(U14,Dicionários!$I$2:$J$22,2,0)),"1")</f>
        <v>1</v>
      </c>
      <c r="W14" s="17"/>
      <c r="X14" s="53" t="str">
        <f>IF(W$1="SIM",IF(W14="","1",VLOOKUP(W14,Dicionários!$K$2:$L$22,2,0)),"1")</f>
        <v>1</v>
      </c>
      <c r="Y14" s="17" t="s">
        <v>164</v>
      </c>
      <c r="Z14" s="53">
        <f>IF(Y$1="SIM",IF(Y14="","1",VLOOKUP(Y14,Dicionários!$M$2:$N$12,2,0)),"1")</f>
        <v>1.45</v>
      </c>
      <c r="AA14" s="17">
        <v>1</v>
      </c>
      <c r="AB14" s="65"/>
      <c r="AC14" s="17" t="s">
        <v>138</v>
      </c>
      <c r="AD14" s="53">
        <f>IF(AC$1="SIM",IF(AC14="","1",VLOOKUP(AC14,Dicionários!$O$2:$Q$22,$AD$2,0)),"1")</f>
        <v>1.0820000000000001</v>
      </c>
      <c r="AE14" s="28">
        <v>799000</v>
      </c>
      <c r="AF14" s="54">
        <f t="shared" si="12"/>
        <v>8737.9702537182857</v>
      </c>
      <c r="AG14" s="27">
        <v>0.9</v>
      </c>
      <c r="AH14" s="54">
        <f t="shared" si="13"/>
        <v>7864.1732283464571</v>
      </c>
      <c r="AI14" s="47"/>
      <c r="AJ14" s="55">
        <f t="shared" si="14"/>
        <v>1.016</v>
      </c>
      <c r="AK14" s="56">
        <f t="shared" si="15"/>
        <v>1.4399999999999977</v>
      </c>
      <c r="AL14" s="56">
        <f t="shared" si="16"/>
        <v>27</v>
      </c>
      <c r="AM14" s="55">
        <f t="shared" si="17"/>
        <v>0.25</v>
      </c>
      <c r="AN14" s="57"/>
      <c r="AO14" s="55" t="str">
        <f t="shared" si="18"/>
        <v/>
      </c>
      <c r="AP14" s="56">
        <f t="shared" si="1"/>
        <v>0</v>
      </c>
      <c r="AQ14" s="56">
        <f t="shared" si="2"/>
        <v>0</v>
      </c>
      <c r="AR14" s="55">
        <f t="shared" si="19"/>
        <v>0.25</v>
      </c>
      <c r="AS14" s="58"/>
      <c r="AT14" s="59">
        <f t="shared" si="3"/>
        <v>0</v>
      </c>
      <c r="AU14" s="59">
        <f t="shared" si="4"/>
        <v>1</v>
      </c>
      <c r="AV14" s="47"/>
      <c r="AW14" s="60">
        <f t="shared" si="20"/>
        <v>1.1000000000000001</v>
      </c>
      <c r="AX14" s="60">
        <f t="shared" si="21"/>
        <v>1.0039762215651984</v>
      </c>
      <c r="AY14" s="60">
        <f t="shared" si="22"/>
        <v>1</v>
      </c>
      <c r="AZ14" s="60">
        <f t="shared" si="23"/>
        <v>1</v>
      </c>
      <c r="BA14" s="60">
        <f t="shared" si="24"/>
        <v>1</v>
      </c>
      <c r="BB14" s="60">
        <f t="shared" si="25"/>
        <v>1</v>
      </c>
      <c r="BC14" s="60">
        <f t="shared" si="26"/>
        <v>1</v>
      </c>
      <c r="BD14" s="60">
        <f t="shared" si="27"/>
        <v>1</v>
      </c>
      <c r="BE14" s="60">
        <f t="shared" si="28"/>
        <v>1</v>
      </c>
      <c r="BF14" s="60">
        <f t="shared" si="29"/>
        <v>1</v>
      </c>
      <c r="BG14" s="60">
        <f t="shared" si="30"/>
        <v>1</v>
      </c>
      <c r="BH14" s="60">
        <f t="shared" si="5"/>
        <v>1.0669999999999999</v>
      </c>
      <c r="BI14" s="60">
        <f t="shared" si="31"/>
        <v>0.96118299445471345</v>
      </c>
      <c r="BJ14" s="61">
        <f t="shared" si="6"/>
        <v>1.1321592160199119</v>
      </c>
      <c r="BK14" s="47"/>
      <c r="BL14" s="62">
        <f t="shared" si="7"/>
        <v>8903.4961968495045</v>
      </c>
      <c r="BM14" s="62">
        <f t="shared" si="8"/>
        <v>8903.4961968495045</v>
      </c>
      <c r="BN14" s="62">
        <f t="shared" si="9"/>
        <v>1.2158188944690782</v>
      </c>
      <c r="BO14" s="62">
        <f>IF(BM14="","",VLOOKUP($BU$16,Dicionários!$S$2:$T$31,2,0))</f>
        <v>2.06</v>
      </c>
      <c r="BP14" s="62" t="str">
        <f t="shared" si="10"/>
        <v>ACEITO</v>
      </c>
      <c r="BQ14" s="47"/>
      <c r="BR14" s="117" t="s">
        <v>219</v>
      </c>
      <c r="BT14" s="128" t="s">
        <v>194</v>
      </c>
      <c r="BU14" s="133">
        <f>AVERAGEIF($BR$3:$BR$17,"SIM",$BM$3:$BM$17)</f>
        <v>8011.8146413701397</v>
      </c>
      <c r="BW14" s="158" t="s">
        <v>208</v>
      </c>
      <c r="BX14" s="159"/>
      <c r="BY14" s="159"/>
      <c r="BZ14" s="160">
        <f>$BZ$3*BZ7</f>
        <v>612903.82006481569</v>
      </c>
      <c r="CA14" s="160"/>
      <c r="CB14" s="161">
        <f>1-(BZ14/$BZ$13)</f>
        <v>0.14999999999999991</v>
      </c>
      <c r="CC14" s="162"/>
      <c r="CE14" s="147" t="s">
        <v>220</v>
      </c>
      <c r="CF14" s="148"/>
      <c r="CG14" s="148"/>
      <c r="CH14" s="148"/>
      <c r="CI14" s="148"/>
      <c r="CJ14" s="149"/>
    </row>
    <row r="15" spans="1:88" s="63" customFormat="1" ht="28.5" customHeight="1" thickBot="1" x14ac:dyDescent="0.3">
      <c r="A15" s="116">
        <v>13</v>
      </c>
      <c r="B15" s="16" t="s">
        <v>264</v>
      </c>
      <c r="C15" s="14">
        <v>1.1000000000000001</v>
      </c>
      <c r="D15" s="49">
        <f t="shared" si="11"/>
        <v>1.1000000000000001</v>
      </c>
      <c r="E15" s="18">
        <v>88.14</v>
      </c>
      <c r="F15" s="66"/>
      <c r="G15" s="18"/>
      <c r="H15" s="66"/>
      <c r="I15" s="18"/>
      <c r="J15" s="66"/>
      <c r="K15" s="51" t="str">
        <f t="shared" si="0"/>
        <v/>
      </c>
      <c r="L15" s="67"/>
      <c r="M15" s="17"/>
      <c r="N15" s="53" t="str">
        <f>IF(M$1="SIM",IF(M15="","1",VLOOKUP(M15,Dicionários!$A$2:$B$22,2,0)),"1")</f>
        <v>1</v>
      </c>
      <c r="O15" s="17"/>
      <c r="P15" s="53" t="str">
        <f>IF(O$1="SIM",IF(O15="","1",VLOOKUP(O15,Dicionários!$C$2:$D$22,2,0)),"1")</f>
        <v>1</v>
      </c>
      <c r="Q15" s="17"/>
      <c r="R15" s="53" t="str">
        <f>IF(Q$1="SIM",IF(Q15="","1",VLOOKUP(Q15,Dicionários!$E$2:$F$22,2,0)),"1")</f>
        <v>1</v>
      </c>
      <c r="S15" s="17"/>
      <c r="T15" s="53" t="str">
        <f>IF(S$1="SIM",IF(S15="","1",VLOOKUP(S15,Dicionários!$G$2:$H$22,2,0)),"1")</f>
        <v>1</v>
      </c>
      <c r="U15" s="17"/>
      <c r="V15" s="53" t="str">
        <f>IF(U$1="SIM",IF(U15="","1",VLOOKUP(U15,Dicionários!$I$2:$J$22,2,0)),"1")</f>
        <v>1</v>
      </c>
      <c r="W15" s="17"/>
      <c r="X15" s="53" t="str">
        <f>IF(W$1="SIM",IF(W15="","1",VLOOKUP(W15,Dicionários!$K$2:$L$22,2,0)),"1")</f>
        <v>1</v>
      </c>
      <c r="Y15" s="17" t="s">
        <v>279</v>
      </c>
      <c r="Z15" s="53">
        <f>IF(Y$1="SIM",IF(Y15="","1",VLOOKUP(Y15,Dicionários!$M$2:$N$12,2,0)),"1")</f>
        <v>1.3</v>
      </c>
      <c r="AA15" s="17">
        <v>1</v>
      </c>
      <c r="AB15" s="65"/>
      <c r="AC15" s="17" t="s">
        <v>139</v>
      </c>
      <c r="AD15" s="53">
        <f>IF(AC$1="SIM",IF(AC15="","1",VLOOKUP(AC15,Dicionários!$O$2:$Q$22,$AD$2,0)),"1")</f>
        <v>1.1040000000000001</v>
      </c>
      <c r="AE15" s="28">
        <v>771120</v>
      </c>
      <c r="AF15" s="54">
        <f t="shared" si="12"/>
        <v>8748.8087134104826</v>
      </c>
      <c r="AG15" s="27">
        <v>0.9</v>
      </c>
      <c r="AH15" s="54">
        <f t="shared" si="13"/>
        <v>7873.9278420694345</v>
      </c>
      <c r="AI15" s="47"/>
      <c r="AJ15" s="55">
        <f t="shared" si="14"/>
        <v>0.97933333333333339</v>
      </c>
      <c r="AK15" s="56">
        <f t="shared" si="15"/>
        <v>1.8599999999999994</v>
      </c>
      <c r="AL15" s="56">
        <f t="shared" si="16"/>
        <v>27</v>
      </c>
      <c r="AM15" s="55">
        <f t="shared" si="17"/>
        <v>0.25</v>
      </c>
      <c r="AN15" s="57"/>
      <c r="AO15" s="55" t="str">
        <f t="shared" si="18"/>
        <v/>
      </c>
      <c r="AP15" s="56">
        <f t="shared" si="1"/>
        <v>0</v>
      </c>
      <c r="AQ15" s="56">
        <f t="shared" si="2"/>
        <v>0</v>
      </c>
      <c r="AR15" s="55">
        <f t="shared" si="19"/>
        <v>0.25</v>
      </c>
      <c r="AS15" s="58"/>
      <c r="AT15" s="59">
        <f t="shared" si="3"/>
        <v>0</v>
      </c>
      <c r="AU15" s="59">
        <f t="shared" si="4"/>
        <v>1</v>
      </c>
      <c r="AV15" s="47"/>
      <c r="AW15" s="60">
        <f t="shared" si="20"/>
        <v>1</v>
      </c>
      <c r="AX15" s="60">
        <f t="shared" si="21"/>
        <v>0.99479280197533904</v>
      </c>
      <c r="AY15" s="60">
        <f t="shared" si="22"/>
        <v>1</v>
      </c>
      <c r="AZ15" s="60">
        <f t="shared" si="23"/>
        <v>1</v>
      </c>
      <c r="BA15" s="60">
        <f t="shared" si="24"/>
        <v>1</v>
      </c>
      <c r="BB15" s="60">
        <f t="shared" si="25"/>
        <v>1</v>
      </c>
      <c r="BC15" s="60">
        <f t="shared" si="26"/>
        <v>1</v>
      </c>
      <c r="BD15" s="60">
        <f t="shared" si="27"/>
        <v>1</v>
      </c>
      <c r="BE15" s="60">
        <f t="shared" si="28"/>
        <v>1</v>
      </c>
      <c r="BF15" s="60">
        <f t="shared" si="29"/>
        <v>1</v>
      </c>
      <c r="BG15" s="60">
        <f t="shared" si="30"/>
        <v>1.1153846153846154</v>
      </c>
      <c r="BH15" s="60">
        <f t="shared" si="5"/>
        <v>1.0669999999999999</v>
      </c>
      <c r="BI15" s="60">
        <f t="shared" si="31"/>
        <v>0.94202898550724634</v>
      </c>
      <c r="BJ15" s="61">
        <f t="shared" si="6"/>
        <v>1.1192064028672006</v>
      </c>
      <c r="BK15" s="47"/>
      <c r="BL15" s="62">
        <f t="shared" si="7"/>
        <v>8812.5504565584306</v>
      </c>
      <c r="BM15" s="62">
        <f t="shared" si="8"/>
        <v>8812.5504565584306</v>
      </c>
      <c r="BN15" s="62">
        <f t="shared" si="9"/>
        <v>1.0918132461096461</v>
      </c>
      <c r="BO15" s="62">
        <f>IF(BM15="","",VLOOKUP($BU$16,Dicionários!$S$2:$T$31,2,0))</f>
        <v>2.06</v>
      </c>
      <c r="BP15" s="62" t="str">
        <f t="shared" si="10"/>
        <v>ACEITO</v>
      </c>
      <c r="BQ15" s="47"/>
      <c r="BR15" s="117" t="s">
        <v>219</v>
      </c>
      <c r="BT15" s="128" t="s">
        <v>191</v>
      </c>
      <c r="BU15" s="134" cm="1">
        <f t="array" ref="BU15">_xlfn.STDEV.S(IF($BR$3:$BR$17="SIM",$BM$3:$BM$17))</f>
        <v>733.39998213199578</v>
      </c>
      <c r="BW15" s="158" t="s">
        <v>209</v>
      </c>
      <c r="BX15" s="159"/>
      <c r="BY15" s="159"/>
      <c r="BZ15" s="160">
        <f>$BZ$3*BZ8</f>
        <v>829222.81538180937</v>
      </c>
      <c r="CA15" s="160"/>
      <c r="CB15" s="161">
        <f>(BZ15/$BZ$13)-1</f>
        <v>0.14999999999999991</v>
      </c>
      <c r="CC15" s="162"/>
      <c r="CE15" s="147"/>
      <c r="CF15" s="148"/>
      <c r="CG15" s="148"/>
      <c r="CH15" s="148"/>
      <c r="CI15" s="148"/>
      <c r="CJ15" s="149"/>
    </row>
    <row r="16" spans="1:88" s="63" customFormat="1" ht="28.5" customHeight="1" thickBot="1" x14ac:dyDescent="0.3">
      <c r="A16" s="118">
        <v>14</v>
      </c>
      <c r="B16" s="16" t="s">
        <v>267</v>
      </c>
      <c r="C16" s="14">
        <v>1</v>
      </c>
      <c r="D16" s="49">
        <f t="shared" si="11"/>
        <v>1</v>
      </c>
      <c r="E16" s="18">
        <v>91.44</v>
      </c>
      <c r="F16" s="66"/>
      <c r="G16" s="18"/>
      <c r="H16" s="66"/>
      <c r="I16" s="18"/>
      <c r="J16" s="66"/>
      <c r="K16" s="51" t="str">
        <f t="shared" si="0"/>
        <v/>
      </c>
      <c r="L16" s="67"/>
      <c r="M16" s="17"/>
      <c r="N16" s="53" t="str">
        <f>IF(M$1="SIM",IF(M16="","1",VLOOKUP(M16,Dicionários!$A$2:$B$22,2,0)),"1")</f>
        <v>1</v>
      </c>
      <c r="O16" s="17"/>
      <c r="P16" s="53" t="str">
        <f>IF(O$1="SIM",IF(O16="","1",VLOOKUP(O16,Dicionários!$C$2:$D$22,2,0)),"1")</f>
        <v>1</v>
      </c>
      <c r="Q16" s="17"/>
      <c r="R16" s="53" t="str">
        <f>IF(Q$1="SIM",IF(Q16="","1",VLOOKUP(Q16,Dicionários!$E$2:$F$22,2,0)),"1")</f>
        <v>1</v>
      </c>
      <c r="S16" s="17"/>
      <c r="T16" s="53" t="str">
        <f>IF(S$1="SIM",IF(S16="","1",VLOOKUP(S16,Dicionários!$G$2:$H$22,2,0)),"1")</f>
        <v>1</v>
      </c>
      <c r="U16" s="17"/>
      <c r="V16" s="53" t="str">
        <f>IF(U$1="SIM",IF(U16="","1",VLOOKUP(U16,Dicionários!$I$2:$J$22,2,0)),"1")</f>
        <v>1</v>
      </c>
      <c r="W16" s="17"/>
      <c r="X16" s="53" t="str">
        <f>IF(W$1="SIM",IF(W16="","1",VLOOKUP(W16,Dicionários!$K$2:$L$22,2,0)),"1")</f>
        <v>1</v>
      </c>
      <c r="Y16" s="17" t="s">
        <v>164</v>
      </c>
      <c r="Z16" s="53">
        <f>IF(Y$1="SIM",IF(Y16="","1",VLOOKUP(Y16,Dicionários!$M$2:$N$12,2,0)),"1")</f>
        <v>1.45</v>
      </c>
      <c r="AA16" s="17">
        <v>1</v>
      </c>
      <c r="AB16" s="65"/>
      <c r="AC16" s="17" t="s">
        <v>139</v>
      </c>
      <c r="AD16" s="53">
        <f>IF(AC$1="SIM",IF(AC16="","1",VLOOKUP(AC16,Dicionários!$O$2:$Q$22,$AD$2,0)),"1")</f>
        <v>1.1040000000000001</v>
      </c>
      <c r="AE16" s="28">
        <v>848000</v>
      </c>
      <c r="AF16" s="54">
        <f t="shared" si="12"/>
        <v>9273.8407699037616</v>
      </c>
      <c r="AG16" s="27">
        <v>0.9</v>
      </c>
      <c r="AH16" s="54">
        <f t="shared" si="13"/>
        <v>8346.4566929133853</v>
      </c>
      <c r="AI16" s="47"/>
      <c r="AJ16" s="55">
        <f t="shared" si="14"/>
        <v>1.016</v>
      </c>
      <c r="AK16" s="56">
        <f t="shared" si="15"/>
        <v>1.4399999999999977</v>
      </c>
      <c r="AL16" s="56">
        <f t="shared" si="16"/>
        <v>27</v>
      </c>
      <c r="AM16" s="55">
        <f t="shared" si="17"/>
        <v>0.25</v>
      </c>
      <c r="AN16" s="57"/>
      <c r="AO16" s="55" t="str">
        <f t="shared" si="18"/>
        <v/>
      </c>
      <c r="AP16" s="56">
        <f t="shared" si="1"/>
        <v>0</v>
      </c>
      <c r="AQ16" s="56">
        <f t="shared" si="2"/>
        <v>0</v>
      </c>
      <c r="AR16" s="55">
        <f t="shared" si="19"/>
        <v>0.25</v>
      </c>
      <c r="AS16" s="58"/>
      <c r="AT16" s="59">
        <f t="shared" si="3"/>
        <v>0</v>
      </c>
      <c r="AU16" s="59">
        <f t="shared" si="4"/>
        <v>1</v>
      </c>
      <c r="AV16" s="47"/>
      <c r="AW16" s="60">
        <f t="shared" si="20"/>
        <v>1.1000000000000001</v>
      </c>
      <c r="AX16" s="60">
        <f t="shared" si="21"/>
        <v>1.0039762215651984</v>
      </c>
      <c r="AY16" s="60">
        <f t="shared" si="22"/>
        <v>1</v>
      </c>
      <c r="AZ16" s="60">
        <f t="shared" si="23"/>
        <v>1</v>
      </c>
      <c r="BA16" s="60">
        <f t="shared" si="24"/>
        <v>1</v>
      </c>
      <c r="BB16" s="60">
        <f t="shared" si="25"/>
        <v>1</v>
      </c>
      <c r="BC16" s="60">
        <f t="shared" si="26"/>
        <v>1</v>
      </c>
      <c r="BD16" s="60">
        <f t="shared" si="27"/>
        <v>1</v>
      </c>
      <c r="BE16" s="60">
        <f t="shared" si="28"/>
        <v>1</v>
      </c>
      <c r="BF16" s="60">
        <f t="shared" si="29"/>
        <v>1</v>
      </c>
      <c r="BG16" s="60">
        <f t="shared" si="30"/>
        <v>1</v>
      </c>
      <c r="BH16" s="60">
        <f t="shared" si="5"/>
        <v>1.0669999999999999</v>
      </c>
      <c r="BI16" s="60">
        <f t="shared" si="31"/>
        <v>0.94202898550724634</v>
      </c>
      <c r="BJ16" s="61">
        <f t="shared" si="6"/>
        <v>1.1130052070724448</v>
      </c>
      <c r="BK16" s="47"/>
      <c r="BL16" s="62">
        <f t="shared" si="7"/>
        <v>9289.6497598172555</v>
      </c>
      <c r="BM16" s="62">
        <f t="shared" si="8"/>
        <v>9289.6497598172555</v>
      </c>
      <c r="BN16" s="62">
        <f t="shared" si="9"/>
        <v>1.7423440817825568</v>
      </c>
      <c r="BO16" s="62">
        <f>IF(BM16="","",VLOOKUP($BU$16,Dicionários!$S$2:$T$31,2,0))</f>
        <v>2.06</v>
      </c>
      <c r="BP16" s="62" t="str">
        <f t="shared" si="10"/>
        <v>ACEITO</v>
      </c>
      <c r="BQ16" s="47"/>
      <c r="BR16" s="117" t="s">
        <v>219</v>
      </c>
      <c r="BT16" s="128" t="s">
        <v>199</v>
      </c>
      <c r="BU16" s="132">
        <f>BU13-1</f>
        <v>13</v>
      </c>
      <c r="BW16" s="158" t="s">
        <v>210</v>
      </c>
      <c r="BX16" s="159"/>
      <c r="BY16" s="159"/>
      <c r="BZ16" s="160">
        <f>$BZ$3*BZ9</f>
        <v>696349.17804780055</v>
      </c>
      <c r="CA16" s="160"/>
      <c r="CB16" s="161">
        <f>1-(BZ16/$BZ$13)</f>
        <v>3.4274576265430401E-2</v>
      </c>
      <c r="CC16" s="162"/>
      <c r="CE16" s="147"/>
      <c r="CF16" s="148"/>
      <c r="CG16" s="148"/>
      <c r="CH16" s="148"/>
      <c r="CI16" s="148"/>
      <c r="CJ16" s="149"/>
    </row>
    <row r="17" spans="1:88" s="63" customFormat="1" ht="28.5" customHeight="1" thickBot="1" x14ac:dyDescent="0.3">
      <c r="A17" s="119">
        <v>15</v>
      </c>
      <c r="B17" s="19" t="s">
        <v>267</v>
      </c>
      <c r="C17" s="83">
        <v>1</v>
      </c>
      <c r="D17" s="49">
        <f t="shared" si="11"/>
        <v>1</v>
      </c>
      <c r="E17" s="21">
        <v>91.44</v>
      </c>
      <c r="F17" s="69"/>
      <c r="G17" s="21"/>
      <c r="H17" s="69"/>
      <c r="I17" s="21"/>
      <c r="J17" s="69"/>
      <c r="K17" s="70" t="str">
        <f t="shared" si="0"/>
        <v/>
      </c>
      <c r="L17" s="71"/>
      <c r="M17" s="20"/>
      <c r="N17" s="72" t="str">
        <f>IF(M$1="SIM",IF(M17="","1",VLOOKUP(M17,Dicionários!$A$2:$B$22,2,0)),"1")</f>
        <v>1</v>
      </c>
      <c r="O17" s="20"/>
      <c r="P17" s="72" t="str">
        <f>IF(O$1="SIM",IF(O17="","1",VLOOKUP(O17,Dicionários!$C$2:$D$22,2,0)),"1")</f>
        <v>1</v>
      </c>
      <c r="Q17" s="20"/>
      <c r="R17" s="72" t="str">
        <f>IF(Q$1="SIM",IF(Q17="","1",VLOOKUP(Q17,Dicionários!$E$2:$F$22,2,0)),"1")</f>
        <v>1</v>
      </c>
      <c r="S17" s="20"/>
      <c r="T17" s="72" t="str">
        <f>IF(S$1="SIM",IF(S17="","1",VLOOKUP(S17,Dicionários!$G$2:$H$22,2,0)),"1")</f>
        <v>1</v>
      </c>
      <c r="U17" s="20"/>
      <c r="V17" s="72" t="str">
        <f>IF(U$1="SIM",IF(U17="","1",VLOOKUP(U17,Dicionários!$I$2:$J$22,2,0)),"1")</f>
        <v>1</v>
      </c>
      <c r="W17" s="20"/>
      <c r="X17" s="72" t="str">
        <f>IF(W$1="SIM",IF(W17="","1",VLOOKUP(W17,Dicionários!$K$2:$L$22,2,0)),"1")</f>
        <v>1</v>
      </c>
      <c r="Y17" s="20" t="s">
        <v>164</v>
      </c>
      <c r="Z17" s="72">
        <f>IF(Y$1="SIM",IF(Y17="","1",VLOOKUP(Y17,Dicionários!$M$2:$N$12,2,0)),"1")</f>
        <v>1.45</v>
      </c>
      <c r="AA17" s="20">
        <v>2</v>
      </c>
      <c r="AB17" s="68"/>
      <c r="AC17" s="20" t="s">
        <v>138</v>
      </c>
      <c r="AD17" s="53">
        <f>IF(AC$1="SIM",IF(AC17="","1",VLOOKUP(AC17,Dicionários!$O$2:$Q$22,$AD$2,0)),"1")</f>
        <v>1.0820000000000001</v>
      </c>
      <c r="AE17" s="28">
        <v>850000</v>
      </c>
      <c r="AF17" s="54">
        <f t="shared" si="12"/>
        <v>9295.7130358705163</v>
      </c>
      <c r="AG17" s="27">
        <v>0.9</v>
      </c>
      <c r="AH17" s="54">
        <f t="shared" si="13"/>
        <v>8366.1417322834641</v>
      </c>
      <c r="AI17" s="47"/>
      <c r="AJ17" s="55">
        <f t="shared" si="14"/>
        <v>1.016</v>
      </c>
      <c r="AK17" s="56">
        <f t="shared" si="15"/>
        <v>1.4399999999999977</v>
      </c>
      <c r="AL17" s="56">
        <f t="shared" si="16"/>
        <v>27</v>
      </c>
      <c r="AM17" s="55">
        <f t="shared" si="17"/>
        <v>0.25</v>
      </c>
      <c r="AN17" s="57"/>
      <c r="AO17" s="55" t="str">
        <f t="shared" si="18"/>
        <v/>
      </c>
      <c r="AP17" s="56">
        <f t="shared" si="1"/>
        <v>0</v>
      </c>
      <c r="AQ17" s="56">
        <f t="shared" si="2"/>
        <v>0</v>
      </c>
      <c r="AR17" s="55">
        <f t="shared" si="19"/>
        <v>0.25</v>
      </c>
      <c r="AS17" s="58"/>
      <c r="AT17" s="59">
        <f t="shared" si="3"/>
        <v>0</v>
      </c>
      <c r="AU17" s="59">
        <f t="shared" si="4"/>
        <v>1</v>
      </c>
      <c r="AV17" s="47"/>
      <c r="AW17" s="60">
        <f t="shared" si="20"/>
        <v>1.1000000000000001</v>
      </c>
      <c r="AX17" s="60">
        <f t="shared" si="21"/>
        <v>1.0039762215651984</v>
      </c>
      <c r="AY17" s="60">
        <f t="shared" si="22"/>
        <v>1</v>
      </c>
      <c r="AZ17" s="60">
        <f t="shared" si="23"/>
        <v>1</v>
      </c>
      <c r="BA17" s="60">
        <f t="shared" si="24"/>
        <v>1</v>
      </c>
      <c r="BB17" s="60">
        <f t="shared" si="25"/>
        <v>1</v>
      </c>
      <c r="BC17" s="60">
        <f t="shared" si="26"/>
        <v>1</v>
      </c>
      <c r="BD17" s="60">
        <f t="shared" si="27"/>
        <v>1</v>
      </c>
      <c r="BE17" s="60">
        <f t="shared" si="28"/>
        <v>1</v>
      </c>
      <c r="BF17" s="60">
        <f t="shared" si="29"/>
        <v>1</v>
      </c>
      <c r="BG17" s="60">
        <f t="shared" si="30"/>
        <v>1</v>
      </c>
      <c r="BH17" s="60">
        <f t="shared" si="5"/>
        <v>1</v>
      </c>
      <c r="BI17" s="60">
        <f t="shared" si="31"/>
        <v>0.96118299445471345</v>
      </c>
      <c r="BJ17" s="61">
        <f t="shared" si="6"/>
        <v>1.0651592160199119</v>
      </c>
      <c r="BK17" s="47"/>
      <c r="BL17" s="62">
        <f>IF(AH17="","",BJ17*AH17)</f>
        <v>8911.2729686705225</v>
      </c>
      <c r="BM17" s="62">
        <f>IF(BL17="","",IF(BR17="Sim",AH17*BJ17,""))</f>
        <v>8911.2729686705225</v>
      </c>
      <c r="BN17" s="62">
        <f t="shared" si="9"/>
        <v>1.2264226195992736</v>
      </c>
      <c r="BO17" s="62">
        <f>IF(BM17="","",VLOOKUP($BU$16,Dicionários!$S$2:$T$31,2,0))</f>
        <v>2.06</v>
      </c>
      <c r="BP17" s="62" t="str">
        <f t="shared" si="10"/>
        <v>ACEITO</v>
      </c>
      <c r="BQ17" s="47"/>
      <c r="BR17" s="117" t="s">
        <v>219</v>
      </c>
      <c r="BT17" s="128" t="s">
        <v>206</v>
      </c>
      <c r="BU17" s="133">
        <f>BU14*1.15</f>
        <v>9213.58683757566</v>
      </c>
      <c r="BW17" s="153" t="s">
        <v>211</v>
      </c>
      <c r="BX17" s="154"/>
      <c r="BY17" s="154"/>
      <c r="BZ17" s="155">
        <f>$BZ$3*BZ10</f>
        <v>745777.45739882463</v>
      </c>
      <c r="CA17" s="155"/>
      <c r="CB17" s="156">
        <f>(BZ17/$BZ$13)-1</f>
        <v>3.4274576265430623E-2</v>
      </c>
      <c r="CC17" s="157"/>
      <c r="CE17" s="147" t="s">
        <v>221</v>
      </c>
      <c r="CF17" s="148"/>
      <c r="CG17" s="148"/>
      <c r="CH17" s="148"/>
      <c r="CI17" s="148"/>
      <c r="CJ17" s="149"/>
    </row>
    <row r="18" spans="1:88" s="63" customFormat="1" ht="28.5" customHeight="1" thickBot="1" x14ac:dyDescent="0.3">
      <c r="A18" s="25" t="s">
        <v>158</v>
      </c>
      <c r="B18" s="22"/>
      <c r="C18" s="24">
        <v>1.1000000000000001</v>
      </c>
      <c r="D18" s="76">
        <f t="shared" si="11"/>
        <v>1.1000000000000001</v>
      </c>
      <c r="E18" s="23">
        <v>90</v>
      </c>
      <c r="F18" s="73"/>
      <c r="G18" s="23"/>
      <c r="H18" s="73"/>
      <c r="I18" s="23"/>
      <c r="J18" s="73"/>
      <c r="K18" s="74" t="str">
        <f t="shared" si="0"/>
        <v/>
      </c>
      <c r="L18" s="75"/>
      <c r="M18" s="24"/>
      <c r="N18" s="76" t="str">
        <f>IF(M$1="SIM",IF(M18="","1",VLOOKUP(M18,Dicionários!$A$2:$B$22,2,0)),"1")</f>
        <v>1</v>
      </c>
      <c r="O18" s="24"/>
      <c r="P18" s="76" t="str">
        <f>IF(O$1="SIM",IF(O18="","1",VLOOKUP(O18,Dicionários!$C$2:$D$22,2,0)),"1")</f>
        <v>1</v>
      </c>
      <c r="Q18" s="24"/>
      <c r="R18" s="76" t="str">
        <f>IF(Q$1="SIM",IF(Q18="","1",VLOOKUP(Q18,Dicionários!$E$2:$F$22,2,0)),"1")</f>
        <v>1</v>
      </c>
      <c r="S18" s="24"/>
      <c r="T18" s="76" t="str">
        <f>IF(S$1="SIM",IF(S18="","1",VLOOKUP(S18,Dicionários!$G$2:$H$22,2,0)),"1")</f>
        <v>1</v>
      </c>
      <c r="U18" s="24"/>
      <c r="V18" s="76" t="str">
        <f>IF(U$1="SIM",IF(U18="","1",VLOOKUP(U18,Dicionários!$I$2:$J$22,2,0)),"1")</f>
        <v>1</v>
      </c>
      <c r="W18" s="24"/>
      <c r="X18" s="76" t="str">
        <f>IF(W$1="SIM",IF(W18="","1",VLOOKUP(W18,Dicionários!$K$2:$L$22,2,0)),"1")</f>
        <v>1</v>
      </c>
      <c r="Y18" s="24" t="s">
        <v>164</v>
      </c>
      <c r="Z18" s="76">
        <f>IF(Y$1="SIM",IF(Y18="","1",VLOOKUP(Y18,Dicionários!$M$2:$N$12,2,0)),"1")</f>
        <v>1.45</v>
      </c>
      <c r="AA18" s="24">
        <v>2</v>
      </c>
      <c r="AB18" s="77"/>
      <c r="AC18" s="25" t="s">
        <v>136</v>
      </c>
      <c r="AD18" s="76">
        <f>IF(AC$1="SIM",IF(AC18="","1",VLOOKUP(AC18,Dicionários!$O$2:$Q$22,$AD$2,0)),"1")</f>
        <v>1.04</v>
      </c>
      <c r="AE18" s="120"/>
      <c r="AF18" s="120"/>
      <c r="AG18" s="120"/>
      <c r="AH18" s="121"/>
      <c r="AI18" s="120"/>
      <c r="AJ18" s="122"/>
      <c r="AK18" s="123"/>
      <c r="AL18" s="123"/>
      <c r="AM18" s="122"/>
      <c r="AN18" s="123"/>
      <c r="AO18" s="122"/>
      <c r="AP18" s="123"/>
      <c r="AQ18" s="123"/>
      <c r="AR18" s="122"/>
      <c r="AS18" s="124"/>
      <c r="AT18" s="125">
        <f t="shared" si="3"/>
        <v>0</v>
      </c>
      <c r="AU18" s="125">
        <f t="shared" si="4"/>
        <v>1</v>
      </c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6">
        <f>AVERAGE(BL3:BL17)</f>
        <v>7821.320141947207</v>
      </c>
      <c r="BM18" s="126">
        <f>AVERAGE(BM3:BM17)</f>
        <v>8011.8146413701397</v>
      </c>
      <c r="BN18" s="135"/>
      <c r="BO18" s="135"/>
      <c r="BP18" s="135"/>
      <c r="BQ18" s="120"/>
      <c r="BR18" s="127"/>
      <c r="BT18" s="128" t="s">
        <v>207</v>
      </c>
      <c r="BU18" s="133">
        <f>BU14*0.85</f>
        <v>6810.0424451646186</v>
      </c>
      <c r="CE18" s="147"/>
      <c r="CF18" s="148"/>
      <c r="CG18" s="148"/>
      <c r="CH18" s="148"/>
      <c r="CI18" s="148"/>
      <c r="CJ18" s="149"/>
    </row>
    <row r="19" spans="1:88" ht="28.5" customHeight="1" x14ac:dyDescent="0.25">
      <c r="A19" s="103"/>
      <c r="AE19" s="104"/>
      <c r="AF19" s="104"/>
      <c r="AG19" s="104"/>
      <c r="AH19" s="104"/>
      <c r="AI19" s="104"/>
      <c r="AJ19" s="105"/>
      <c r="AK19" s="106"/>
      <c r="BT19" s="128" t="s">
        <v>200</v>
      </c>
      <c r="BU19" s="129">
        <f>VLOOKUP(BU16,Dicionários!V3:W39,2,0)</f>
        <v>1.35</v>
      </c>
      <c r="CE19" s="147"/>
      <c r="CF19" s="148"/>
      <c r="CG19" s="148"/>
      <c r="CH19" s="148"/>
      <c r="CI19" s="148"/>
      <c r="CJ19" s="149"/>
    </row>
    <row r="20" spans="1:88" ht="28.5" customHeight="1" thickBot="1" x14ac:dyDescent="0.3">
      <c r="C20" s="35"/>
      <c r="D20" s="35"/>
      <c r="AG20" s="104"/>
      <c r="AH20" s="104"/>
      <c r="AI20" s="104"/>
      <c r="AJ20" s="105"/>
      <c r="AK20" s="106"/>
      <c r="AL20" s="104"/>
      <c r="BT20" s="128" t="s">
        <v>201</v>
      </c>
      <c r="BU20" s="129">
        <f>BU14-BU19*(BU15/(BU13-1)^0.5)</f>
        <v>7737.2130894200063</v>
      </c>
      <c r="CE20" s="150"/>
      <c r="CF20" s="151"/>
      <c r="CG20" s="151"/>
      <c r="CH20" s="151"/>
      <c r="CI20" s="151"/>
      <c r="CJ20" s="152"/>
    </row>
    <row r="21" spans="1:88" ht="28.5" customHeight="1" x14ac:dyDescent="0.25">
      <c r="C21" s="35"/>
      <c r="D21" s="35"/>
      <c r="AG21" s="104"/>
      <c r="AH21" s="104"/>
      <c r="AI21" s="104"/>
      <c r="AJ21" s="105"/>
      <c r="AK21" s="106"/>
      <c r="BT21" s="128" t="s">
        <v>202</v>
      </c>
      <c r="BU21" s="129">
        <f>BU14+BU19*(BU15/(BU13-1)^0.5)</f>
        <v>8286.416193320274</v>
      </c>
    </row>
    <row r="22" spans="1:88" ht="28.5" customHeight="1" x14ac:dyDescent="0.25">
      <c r="C22" s="35"/>
      <c r="D22" s="35"/>
      <c r="AG22" s="104"/>
      <c r="AH22" s="104"/>
      <c r="AI22" s="104"/>
      <c r="AJ22" s="105"/>
      <c r="AK22" s="106"/>
      <c r="BT22" s="128" t="s">
        <v>195</v>
      </c>
      <c r="BU22" s="129">
        <f>BU21-BU20</f>
        <v>549.20310390026771</v>
      </c>
    </row>
    <row r="23" spans="1:88" ht="28.5" customHeight="1" thickBot="1" x14ac:dyDescent="0.3">
      <c r="C23" s="35"/>
      <c r="D23" s="35"/>
      <c r="AG23" s="104"/>
      <c r="AH23" s="104"/>
      <c r="AI23" s="104"/>
      <c r="AJ23" s="105"/>
      <c r="AK23" s="106"/>
      <c r="BT23" s="130" t="s">
        <v>196</v>
      </c>
      <c r="BU23" s="131">
        <f>(BU22/BU14)</f>
        <v>6.8549152530861066E-2</v>
      </c>
    </row>
    <row r="24" spans="1:88" ht="19.5" customHeight="1" x14ac:dyDescent="0.2">
      <c r="C24" s="35"/>
      <c r="D24" s="35"/>
      <c r="AG24" s="104"/>
      <c r="AH24" s="104"/>
      <c r="AI24" s="104"/>
      <c r="AJ24" s="105"/>
      <c r="AK24" s="106"/>
    </row>
  </sheetData>
  <mergeCells count="58">
    <mergeCell ref="M1:N1"/>
    <mergeCell ref="AT1:AU1"/>
    <mergeCell ref="O1:P1"/>
    <mergeCell ref="Q1:R1"/>
    <mergeCell ref="S1:T1"/>
    <mergeCell ref="U1:V1"/>
    <mergeCell ref="W1:X1"/>
    <mergeCell ref="Y1:Z1"/>
    <mergeCell ref="G2:H2"/>
    <mergeCell ref="I2:J2"/>
    <mergeCell ref="K2:L2"/>
    <mergeCell ref="G1:H1"/>
    <mergeCell ref="I1:J1"/>
    <mergeCell ref="K1:L1"/>
    <mergeCell ref="C1:D1"/>
    <mergeCell ref="E1:F1"/>
    <mergeCell ref="AJ1:AM1"/>
    <mergeCell ref="AO1:AR1"/>
    <mergeCell ref="M2:N2"/>
    <mergeCell ref="O2:P2"/>
    <mergeCell ref="Q2:R2"/>
    <mergeCell ref="S2:T2"/>
    <mergeCell ref="U2:V2"/>
    <mergeCell ref="Y2:Z2"/>
    <mergeCell ref="AA2:AB2"/>
    <mergeCell ref="W2:X2"/>
    <mergeCell ref="AA1:AB1"/>
    <mergeCell ref="AC1:AD1"/>
    <mergeCell ref="C2:D2"/>
    <mergeCell ref="E2:F2"/>
    <mergeCell ref="BZ3:CA3"/>
    <mergeCell ref="BZ14:CA14"/>
    <mergeCell ref="CB14:CC14"/>
    <mergeCell ref="BW6:BY6"/>
    <mergeCell ref="BZ6:CA6"/>
    <mergeCell ref="BW7:BY7"/>
    <mergeCell ref="BZ7:CA7"/>
    <mergeCell ref="BW8:BY8"/>
    <mergeCell ref="BZ8:CA8"/>
    <mergeCell ref="BW9:BY9"/>
    <mergeCell ref="BZ9:CA9"/>
    <mergeCell ref="BW10:BY10"/>
    <mergeCell ref="CE4:CJ12"/>
    <mergeCell ref="CE14:CJ16"/>
    <mergeCell ref="CE17:CJ20"/>
    <mergeCell ref="BW17:BY17"/>
    <mergeCell ref="BZ17:CA17"/>
    <mergeCell ref="CB17:CC17"/>
    <mergeCell ref="BW15:BY15"/>
    <mergeCell ref="BZ15:CA15"/>
    <mergeCell ref="CB15:CC15"/>
    <mergeCell ref="BW16:BY16"/>
    <mergeCell ref="BZ16:CA16"/>
    <mergeCell ref="CB16:CC16"/>
    <mergeCell ref="BZ10:CA10"/>
    <mergeCell ref="BW13:BY13"/>
    <mergeCell ref="BZ13:CA13"/>
    <mergeCell ref="BW14:BY14"/>
  </mergeCells>
  <conditionalFormatting sqref="C1 E1 G1 I1 K1 M1 O1 Q1 S1 U1 W1 Y1 AA1 AC1">
    <cfRule type="expression" dxfId="59" priority="20">
      <formula>C$1="NÃO"</formula>
    </cfRule>
    <cfRule type="expression" dxfId="58" priority="21">
      <formula>C$1="SIM"</formula>
    </cfRule>
  </conditionalFormatting>
  <conditionalFormatting sqref="C3:C18">
    <cfRule type="expression" dxfId="57" priority="17">
      <formula>$C$1="NÃO"</formula>
    </cfRule>
  </conditionalFormatting>
  <conditionalFormatting sqref="E3:E18">
    <cfRule type="expression" dxfId="56" priority="16">
      <formula>$E$1="NÃO"</formula>
    </cfRule>
  </conditionalFormatting>
  <conditionalFormatting sqref="G3:G18">
    <cfRule type="expression" dxfId="55" priority="15">
      <formula>$G$1="NÃO"</formula>
    </cfRule>
  </conditionalFormatting>
  <conditionalFormatting sqref="I3:I18">
    <cfRule type="expression" dxfId="54" priority="14">
      <formula>$I$1="NÃO"</formula>
    </cfRule>
  </conditionalFormatting>
  <conditionalFormatting sqref="M3:M18">
    <cfRule type="expression" dxfId="53" priority="12">
      <formula>$M$1="NÃO"</formula>
    </cfRule>
  </conditionalFormatting>
  <conditionalFormatting sqref="O3:O18">
    <cfRule type="expression" dxfId="52" priority="11">
      <formula>$O$1="NÃO"</formula>
    </cfRule>
  </conditionalFormatting>
  <conditionalFormatting sqref="Q3:Q18">
    <cfRule type="expression" dxfId="51" priority="10">
      <formula>$Q$1="NÃO"</formula>
    </cfRule>
  </conditionalFormatting>
  <conditionalFormatting sqref="S3:S18">
    <cfRule type="expression" dxfId="50" priority="9">
      <formula>$S$1="NÃO"</formula>
    </cfRule>
  </conditionalFormatting>
  <conditionalFormatting sqref="U3:U18">
    <cfRule type="expression" dxfId="49" priority="8">
      <formula>$U$1="NÃO"</formula>
    </cfRule>
  </conditionalFormatting>
  <conditionalFormatting sqref="W3:W18">
    <cfRule type="expression" dxfId="48" priority="7">
      <formula>$W$1="NÃO"</formula>
    </cfRule>
  </conditionalFormatting>
  <conditionalFormatting sqref="Y3:Y18">
    <cfRule type="expression" dxfId="47" priority="6">
      <formula>$Y$1="NÃO"</formula>
    </cfRule>
  </conditionalFormatting>
  <conditionalFormatting sqref="AA3:AA18">
    <cfRule type="expression" dxfId="46" priority="5">
      <formula>$AA$1="NÃO"</formula>
    </cfRule>
  </conditionalFormatting>
  <conditionalFormatting sqref="AC3:AC18">
    <cfRule type="expression" dxfId="45" priority="4">
      <formula>$AC$1="NÃO"</formula>
    </cfRule>
  </conditionalFormatting>
  <conditionalFormatting sqref="AW1:BI1">
    <cfRule type="expression" dxfId="44" priority="18">
      <formula>AW$1="NÃO"</formula>
    </cfRule>
    <cfRule type="expression" dxfId="43" priority="19">
      <formula>AW$1="SIM"</formula>
    </cfRule>
  </conditionalFormatting>
  <conditionalFormatting sqref="BP3:BP17">
    <cfRule type="expression" dxfId="42" priority="1">
      <formula>$BP3 = "REJEITADO"</formula>
    </cfRule>
  </conditionalFormatting>
  <conditionalFormatting sqref="BR3:BR17">
    <cfRule type="expression" dxfId="41" priority="2">
      <formula>$BR3="Não"</formula>
    </cfRule>
    <cfRule type="expression" dxfId="40" priority="3">
      <formula>$BR3="Sim"</formula>
    </cfRule>
  </conditionalFormatting>
  <dataValidations count="8">
    <dataValidation type="list" allowBlank="1" showInputMessage="1" showErrorMessage="1" sqref="AA3:AA18" xr:uid="{2784094E-43C0-4285-BF00-C419C06FA42D}">
      <formula1>"0,1,2,3,4,5,6,7,8,9,10"</formula1>
      <formula2>0</formula2>
    </dataValidation>
    <dataValidation type="list" allowBlank="1" showInputMessage="1" showErrorMessage="1" sqref="AG3:AG18" xr:uid="{E711820E-91BF-4E33-BD93-09639539D62D}">
      <mc:AlternateContent xmlns:x12ac="http://schemas.microsoft.com/office/spreadsheetml/2011/1/ac" xmlns:mc="http://schemas.openxmlformats.org/markup-compatibility/2006">
        <mc:Choice Requires="x12ac">
          <x12ac:list>1,"0,95","0,9","0,85","0,80"</x12ac:list>
        </mc:Choice>
        <mc:Fallback>
          <formula1>"1,0,95,0,9,0,85,0,80"</formula1>
        </mc:Fallback>
      </mc:AlternateContent>
    </dataValidation>
    <dataValidation type="list" allowBlank="1" showInputMessage="1" showErrorMessage="1" sqref="M1 AC1 O1 Q1 S1 U1 W1 Y1 C1 E1 G1 I1 K1 AA1" xr:uid="{82CB853C-2BC9-4492-9C0C-CD942CA7BFB4}">
      <formula1>"SIM,NÃO"</formula1>
    </dataValidation>
    <dataValidation type="list" allowBlank="1" showInputMessage="1" showErrorMessage="1" sqref="AH1" xr:uid="{DD792C2A-F3BA-4D06-8909-AB4446C3A8FF}">
      <formula1>"Terreno,Construída"</formula1>
    </dataValidation>
    <dataValidation type="list" allowBlank="1" showInputMessage="1" showErrorMessage="1" sqref="BR3:BR17" xr:uid="{13E169DF-6312-4765-B6A4-8775828E9F4D}">
      <formula1>"Sim,Não"</formula1>
    </dataValidation>
    <dataValidation type="list" allowBlank="1" showInputMessage="1" showErrorMessage="1" sqref="C3:C18" xr:uid="{601A3909-673F-49D6-9BC8-0040E51549BF}">
      <mc:AlternateContent xmlns:x12ac="http://schemas.microsoft.com/office/spreadsheetml/2011/1/ac" xmlns:mc="http://schemas.openxmlformats.org/markup-compatibility/2006">
        <mc:Choice Requires="x12ac">
          <x12ac:list>"0,5","0,6","0,7","0,8","0,9","1,0","1,1","1,2","1,3","1,4","1,5","1,6","1,7","1,8","1,9","2,0"</x12ac:list>
        </mc:Choice>
        <mc:Fallback>
          <formula1>"0,5,0,6,0,7,0,8,0,9,1,0,1,1,1,2,1,3,1,4,1,5,1,6,1,7,1,8,1,9,2,0"</formula1>
        </mc:Fallback>
      </mc:AlternateContent>
    </dataValidation>
    <dataValidation type="list" allowBlank="1" showInputMessage="1" showErrorMessage="1" sqref="AH21" xr:uid="{009409A4-900C-4C6D-A3C8-B9A82F7984C4}">
      <formula1>"Valor,Valor Unitário,Valor Unitário * fon,Valor Unitário hom"</formula1>
    </dataValidation>
    <dataValidation type="list" allowBlank="1" showInputMessage="1" showErrorMessage="1" sqref="AC2" xr:uid="{EF85F19B-DC8B-499D-95C8-A1A31C4D5BBD}">
      <formula1>"Andar Res,Andar Com"</formula1>
    </dataValidation>
  </dataValidation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6327599-F7D3-4866-A918-5FEDFBB3C3C3}">
          <x14:formula1>
            <xm:f>Dicionários!$O$2:$O$22</xm:f>
          </x14:formula1>
          <xm:sqref>AC3:AC18</xm:sqref>
        </x14:dataValidation>
        <x14:dataValidation type="list" allowBlank="1" showInputMessage="1" showErrorMessage="1" xr:uid="{19DE9261-143D-4A50-A30B-FD600CA2383F}">
          <x14:formula1>
            <xm:f>Dicionários!$A$2:$A$22</xm:f>
          </x14:formula1>
          <xm:sqref>M3:M18</xm:sqref>
        </x14:dataValidation>
        <x14:dataValidation type="list" allowBlank="1" showInputMessage="1" showErrorMessage="1" xr:uid="{2EC8A8F1-B7C0-459B-A0EB-751794071963}">
          <x14:formula1>
            <xm:f>Dicionários!$C$2:$C$22</xm:f>
          </x14:formula1>
          <xm:sqref>O3:O18</xm:sqref>
        </x14:dataValidation>
        <x14:dataValidation type="list" allowBlank="1" showInputMessage="1" showErrorMessage="1" xr:uid="{A30D67C5-E1C6-4886-AE82-BD5EA6FAA678}">
          <x14:formula1>
            <xm:f>Dicionários!$E$2:$E$22</xm:f>
          </x14:formula1>
          <xm:sqref>Q3:Q18</xm:sqref>
        </x14:dataValidation>
        <x14:dataValidation type="list" allowBlank="1" showInputMessage="1" showErrorMessage="1" xr:uid="{3CB82DA3-5D19-4A63-BB9A-16D63190F93F}">
          <x14:formula1>
            <xm:f>Dicionários!$G$2:$G$22</xm:f>
          </x14:formula1>
          <xm:sqref>S3:S18</xm:sqref>
        </x14:dataValidation>
        <x14:dataValidation type="list" allowBlank="1" showInputMessage="1" showErrorMessage="1" xr:uid="{E94C00D8-C2A8-4C6D-8499-A0894B36A8BA}">
          <x14:formula1>
            <xm:f>Dicionários!$I$2:$I$22</xm:f>
          </x14:formula1>
          <xm:sqref>U3:U18</xm:sqref>
        </x14:dataValidation>
        <x14:dataValidation type="list" allowBlank="1" showInputMessage="1" showErrorMessage="1" xr:uid="{CE965B48-F332-466A-9FFB-FEB8E56112D9}">
          <x14:formula1>
            <xm:f>Dicionários!$K$2:$K$22</xm:f>
          </x14:formula1>
          <xm:sqref>W3:W18</xm:sqref>
        </x14:dataValidation>
        <x14:dataValidation type="list" allowBlank="1" showInputMessage="1" showErrorMessage="1" xr:uid="{2434E758-5CE9-4BA0-824E-28E1D2A0F51C}">
          <x14:formula1>
            <xm:f>Dicionários!$M$2:$M$22</xm:f>
          </x14:formula1>
          <xm:sqref>Y3:Y18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9726-0F4E-4A7C-9539-2C8EF883E4FB}">
  <dimension ref="A1:CJ24"/>
  <sheetViews>
    <sheetView showGridLines="0" zoomScaleNormal="100" workbookViewId="0">
      <selection activeCell="AC2" sqref="AC2"/>
    </sheetView>
  </sheetViews>
  <sheetFormatPr defaultRowHeight="12.75" outlineLevelCol="1" x14ac:dyDescent="0.2"/>
  <cols>
    <col min="1" max="1" width="5.5703125" style="35" customWidth="1"/>
    <col min="2" max="2" width="29.5703125" style="35" customWidth="1"/>
    <col min="3" max="3" width="11.28515625" style="78" customWidth="1" outlineLevel="1"/>
    <col min="4" max="4" width="5.7109375" style="78" customWidth="1" outlineLevel="1"/>
    <col min="5" max="5" width="11.28515625" style="35" customWidth="1" outlineLevel="1"/>
    <col min="6" max="6" width="5.7109375" style="35" customWidth="1" outlineLevel="1"/>
    <col min="7" max="7" width="11.28515625" style="35" customWidth="1" outlineLevel="1"/>
    <col min="8" max="8" width="5.7109375" style="35" customWidth="1" outlineLevel="1"/>
    <col min="9" max="9" width="11.28515625" style="35" customWidth="1" outlineLevel="1"/>
    <col min="10" max="10" width="5.7109375" style="35" customWidth="1" outlineLevel="1"/>
    <col min="11" max="11" width="11.28515625" style="35" customWidth="1" outlineLevel="1"/>
    <col min="12" max="12" width="5.7109375" style="35" customWidth="1" outlineLevel="1"/>
    <col min="13" max="13" width="11.28515625" style="35" customWidth="1" outlineLevel="1"/>
    <col min="14" max="14" width="5.7109375" style="35" customWidth="1" outlineLevel="1"/>
    <col min="15" max="15" width="11.28515625" style="35" customWidth="1" outlineLevel="1"/>
    <col min="16" max="16" width="5.7109375" style="35" customWidth="1" outlineLevel="1"/>
    <col min="17" max="17" width="11.28515625" style="35" customWidth="1" outlineLevel="1"/>
    <col min="18" max="18" width="5.7109375" style="35" customWidth="1" outlineLevel="1"/>
    <col min="19" max="19" width="11.28515625" style="35" customWidth="1" outlineLevel="1"/>
    <col min="20" max="20" width="5.7109375" style="35" customWidth="1" outlineLevel="1"/>
    <col min="21" max="21" width="11.28515625" style="35" customWidth="1" outlineLevel="1"/>
    <col min="22" max="22" width="5.7109375" style="35" customWidth="1" outlineLevel="1"/>
    <col min="23" max="23" width="11.28515625" style="35" customWidth="1" outlineLevel="1"/>
    <col min="24" max="24" width="5.7109375" style="35" customWidth="1" outlineLevel="1"/>
    <col min="25" max="25" width="11.28515625" style="35" customWidth="1" outlineLevel="1"/>
    <col min="26" max="26" width="5.7109375" style="35" customWidth="1" outlineLevel="1"/>
    <col min="27" max="27" width="11.28515625" style="35" customWidth="1" outlineLevel="1"/>
    <col min="28" max="28" width="5.7109375" style="35" customWidth="1" outlineLevel="1"/>
    <col min="29" max="29" width="11.28515625" style="35" customWidth="1" outlineLevel="1"/>
    <col min="30" max="30" width="5.7109375" style="35" customWidth="1" outlineLevel="1"/>
    <col min="31" max="32" width="15.140625" style="35" customWidth="1" outlineLevel="1"/>
    <col min="33" max="33" width="6.42578125" style="35" customWidth="1" outlineLevel="1"/>
    <col min="34" max="34" width="17.5703125" style="35" customWidth="1" outlineLevel="1"/>
    <col min="35" max="35" width="2.5703125" style="35" customWidth="1"/>
    <col min="36" max="36" width="6.7109375" style="79" customWidth="1" outlineLevel="1"/>
    <col min="37" max="38" width="5" style="80" customWidth="1" outlineLevel="1"/>
    <col min="39" max="39" width="4.140625" style="79" customWidth="1" outlineLevel="1"/>
    <col min="40" max="40" width="2.5703125" style="80" customWidth="1" outlineLevel="1"/>
    <col min="41" max="41" width="6.42578125" style="79" customWidth="1" outlineLevel="1"/>
    <col min="42" max="43" width="5" style="80" customWidth="1" outlineLevel="1"/>
    <col min="44" max="44" width="4.140625" style="79" customWidth="1" outlineLevel="1"/>
    <col min="45" max="45" width="2.5703125" style="81" customWidth="1" outlineLevel="1"/>
    <col min="46" max="46" width="2.7109375" style="81" customWidth="1" outlineLevel="1"/>
    <col min="47" max="47" width="7" style="81" customWidth="1" outlineLevel="1"/>
    <col min="48" max="48" width="2.5703125" style="35" customWidth="1"/>
    <col min="49" max="61" width="5.5703125" style="35" customWidth="1" outlineLevel="1"/>
    <col min="62" max="62" width="11.140625" style="35" bestFit="1" customWidth="1" outlineLevel="1"/>
    <col min="63" max="63" width="3.42578125" style="35" customWidth="1"/>
    <col min="64" max="65" width="16.42578125" style="35" customWidth="1"/>
    <col min="66" max="66" width="8.5703125" style="35" bestFit="1" customWidth="1"/>
    <col min="67" max="67" width="7.140625" style="35" bestFit="1" customWidth="1"/>
    <col min="68" max="68" width="12.5703125" style="35" bestFit="1" customWidth="1"/>
    <col min="69" max="69" width="2.5703125" style="35" customWidth="1"/>
    <col min="70" max="70" width="8.7109375" style="82" customWidth="1"/>
    <col min="71" max="71" width="1.42578125" style="35" customWidth="1"/>
    <col min="72" max="72" width="32.42578125" style="35" bestFit="1" customWidth="1"/>
    <col min="73" max="73" width="14.7109375" style="35" customWidth="1"/>
    <col min="74" max="74" width="1.42578125" style="35" customWidth="1"/>
    <col min="75" max="76" width="8.7109375" style="35" customWidth="1"/>
    <col min="77" max="77" width="11.85546875" style="35" customWidth="1"/>
    <col min="78" max="81" width="8.7109375" style="35" customWidth="1"/>
    <col min="82" max="82" width="1.42578125" style="35" customWidth="1"/>
    <col min="83" max="1067" width="8.7109375" style="35" customWidth="1"/>
    <col min="1068" max="16384" width="9.140625" style="35"/>
  </cols>
  <sheetData>
    <row r="1" spans="1:88" ht="19.5" customHeight="1" thickBot="1" x14ac:dyDescent="0.3">
      <c r="A1" s="107"/>
      <c r="B1" s="108" t="s">
        <v>173</v>
      </c>
      <c r="C1" s="164" t="s">
        <v>155</v>
      </c>
      <c r="D1" s="165"/>
      <c r="E1" s="164" t="s">
        <v>257</v>
      </c>
      <c r="F1" s="165"/>
      <c r="G1" s="164" t="s">
        <v>155</v>
      </c>
      <c r="H1" s="165"/>
      <c r="I1" s="164" t="s">
        <v>155</v>
      </c>
      <c r="J1" s="165"/>
      <c r="K1" s="164" t="s">
        <v>155</v>
      </c>
      <c r="L1" s="165"/>
      <c r="M1" s="164" t="s">
        <v>155</v>
      </c>
      <c r="N1" s="165"/>
      <c r="O1" s="164" t="s">
        <v>257</v>
      </c>
      <c r="P1" s="165"/>
      <c r="Q1" s="164" t="s">
        <v>257</v>
      </c>
      <c r="R1" s="165"/>
      <c r="S1" s="164" t="s">
        <v>257</v>
      </c>
      <c r="T1" s="165"/>
      <c r="U1" s="164" t="s">
        <v>257</v>
      </c>
      <c r="V1" s="165"/>
      <c r="W1" s="164" t="s">
        <v>257</v>
      </c>
      <c r="X1" s="165"/>
      <c r="Y1" s="164" t="s">
        <v>257</v>
      </c>
      <c r="Z1" s="165"/>
      <c r="AA1" s="164" t="s">
        <v>257</v>
      </c>
      <c r="AB1" s="165"/>
      <c r="AC1" s="171" t="s">
        <v>257</v>
      </c>
      <c r="AD1" s="172"/>
      <c r="AE1" s="109"/>
      <c r="AF1" s="109"/>
      <c r="AG1" s="109"/>
      <c r="AH1" s="110" t="s">
        <v>302</v>
      </c>
      <c r="AI1" s="98"/>
      <c r="AJ1" s="166" t="s">
        <v>120</v>
      </c>
      <c r="AK1" s="166"/>
      <c r="AL1" s="166"/>
      <c r="AM1" s="166"/>
      <c r="AN1" s="111"/>
      <c r="AO1" s="166" t="s">
        <v>121</v>
      </c>
      <c r="AP1" s="166"/>
      <c r="AQ1" s="166"/>
      <c r="AR1" s="166"/>
      <c r="AS1" s="112"/>
      <c r="AT1" s="173" t="s">
        <v>122</v>
      </c>
      <c r="AU1" s="173"/>
      <c r="AV1" s="98"/>
      <c r="AW1" s="34" t="str">
        <f>C1</f>
        <v>SIM</v>
      </c>
      <c r="AX1" s="34" t="str">
        <f>E1</f>
        <v>NÃO</v>
      </c>
      <c r="AY1" s="34" t="str">
        <f>G1</f>
        <v>SIM</v>
      </c>
      <c r="AZ1" s="34" t="str">
        <f>K1</f>
        <v>SIM</v>
      </c>
      <c r="BA1" s="34" t="str">
        <f>M1</f>
        <v>SIM</v>
      </c>
      <c r="BB1" s="34" t="str">
        <f>O1</f>
        <v>NÃO</v>
      </c>
      <c r="BC1" s="34" t="str">
        <f>Q1</f>
        <v>NÃO</v>
      </c>
      <c r="BD1" s="34" t="str">
        <f>S1</f>
        <v>NÃO</v>
      </c>
      <c r="BE1" s="34" t="str">
        <f>U1</f>
        <v>NÃO</v>
      </c>
      <c r="BF1" s="34" t="str">
        <f>W1</f>
        <v>NÃO</v>
      </c>
      <c r="BG1" s="34" t="str">
        <f>Y1</f>
        <v>NÃO</v>
      </c>
      <c r="BH1" s="34" t="str">
        <f>AA1</f>
        <v>NÃO</v>
      </c>
      <c r="BI1" s="34" t="str">
        <f>AC1</f>
        <v>NÃO</v>
      </c>
      <c r="BJ1" s="98"/>
      <c r="BK1" s="98"/>
      <c r="BL1" s="98"/>
      <c r="BM1" s="98"/>
      <c r="BN1" s="98"/>
      <c r="BO1" s="98"/>
      <c r="BP1" s="98"/>
      <c r="BQ1" s="98"/>
      <c r="BR1" s="113"/>
    </row>
    <row r="2" spans="1:88" ht="30" customHeight="1" thickBot="1" x14ac:dyDescent="0.3">
      <c r="A2" s="114" t="s">
        <v>126</v>
      </c>
      <c r="B2" s="36" t="s">
        <v>127</v>
      </c>
      <c r="C2" s="169" t="s">
        <v>242</v>
      </c>
      <c r="D2" s="170"/>
      <c r="E2" s="169" t="s">
        <v>243</v>
      </c>
      <c r="F2" s="170"/>
      <c r="G2" s="169" t="s">
        <v>244</v>
      </c>
      <c r="H2" s="170"/>
      <c r="I2" s="169" t="s">
        <v>245</v>
      </c>
      <c r="J2" s="170"/>
      <c r="K2" s="169" t="s">
        <v>246</v>
      </c>
      <c r="L2" s="170"/>
      <c r="M2" s="167" t="s">
        <v>247</v>
      </c>
      <c r="N2" s="168"/>
      <c r="O2" s="167" t="s">
        <v>88</v>
      </c>
      <c r="P2" s="168"/>
      <c r="Q2" s="167" t="s">
        <v>77</v>
      </c>
      <c r="R2" s="168"/>
      <c r="S2" s="167" t="s">
        <v>125</v>
      </c>
      <c r="T2" s="168"/>
      <c r="U2" s="167" t="s">
        <v>118</v>
      </c>
      <c r="V2" s="168"/>
      <c r="W2" s="167" t="s">
        <v>248</v>
      </c>
      <c r="X2" s="168"/>
      <c r="Y2" s="167" t="s">
        <v>249</v>
      </c>
      <c r="Z2" s="168"/>
      <c r="AA2" s="169" t="s">
        <v>250</v>
      </c>
      <c r="AB2" s="170"/>
      <c r="AC2" s="142" t="s">
        <v>285</v>
      </c>
      <c r="AD2" s="143">
        <f>IF(AC2="Andar Res",3,2)</f>
        <v>3</v>
      </c>
      <c r="AE2" s="37" t="s">
        <v>251</v>
      </c>
      <c r="AF2" s="37" t="s">
        <v>256</v>
      </c>
      <c r="AG2" s="38" t="s">
        <v>241</v>
      </c>
      <c r="AH2" s="39" t="s">
        <v>252</v>
      </c>
      <c r="AI2" s="40"/>
      <c r="AJ2" s="41" t="s">
        <v>236</v>
      </c>
      <c r="AK2" s="42" t="s">
        <v>237</v>
      </c>
      <c r="AL2" s="42" t="s">
        <v>238</v>
      </c>
      <c r="AM2" s="41" t="s">
        <v>123</v>
      </c>
      <c r="AN2" s="43"/>
      <c r="AO2" s="41" t="s">
        <v>236</v>
      </c>
      <c r="AP2" s="42" t="s">
        <v>237</v>
      </c>
      <c r="AQ2" s="42" t="s">
        <v>239</v>
      </c>
      <c r="AR2" s="41" t="s">
        <v>123</v>
      </c>
      <c r="AS2" s="44"/>
      <c r="AT2" s="45" t="s">
        <v>156</v>
      </c>
      <c r="AU2" s="45" t="s">
        <v>157</v>
      </c>
      <c r="AV2" s="40"/>
      <c r="AW2" s="46" t="s">
        <v>222</v>
      </c>
      <c r="AX2" s="46" t="s">
        <v>223</v>
      </c>
      <c r="AY2" s="46" t="s">
        <v>224</v>
      </c>
      <c r="AZ2" s="46" t="s">
        <v>225</v>
      </c>
      <c r="BA2" s="46" t="s">
        <v>226</v>
      </c>
      <c r="BB2" s="46" t="s">
        <v>227</v>
      </c>
      <c r="BC2" s="46" t="s">
        <v>228</v>
      </c>
      <c r="BD2" s="46" t="s">
        <v>229</v>
      </c>
      <c r="BE2" s="46" t="s">
        <v>230</v>
      </c>
      <c r="BF2" s="46" t="s">
        <v>231</v>
      </c>
      <c r="BG2" s="46" t="s">
        <v>232</v>
      </c>
      <c r="BH2" s="46" t="s">
        <v>233</v>
      </c>
      <c r="BI2" s="46" t="s">
        <v>234</v>
      </c>
      <c r="BJ2" s="46" t="s">
        <v>235</v>
      </c>
      <c r="BK2" s="47"/>
      <c r="BL2" s="48" t="s">
        <v>272</v>
      </c>
      <c r="BM2" s="48" t="s">
        <v>273</v>
      </c>
      <c r="BN2" s="48" t="s">
        <v>253</v>
      </c>
      <c r="BO2" s="48" t="s">
        <v>254</v>
      </c>
      <c r="BP2" s="48" t="s">
        <v>255</v>
      </c>
      <c r="BQ2" s="40"/>
      <c r="BR2" s="115"/>
      <c r="BT2" s="84" t="s">
        <v>286</v>
      </c>
      <c r="BU2" s="95"/>
      <c r="BW2" s="84" t="s">
        <v>197</v>
      </c>
      <c r="BX2" s="85"/>
      <c r="BY2" s="85"/>
      <c r="BZ2" s="85"/>
      <c r="CA2" s="86"/>
      <c r="CB2" s="86"/>
      <c r="CC2" s="87"/>
      <c r="CE2" s="84" t="s">
        <v>215</v>
      </c>
      <c r="CF2" s="85"/>
      <c r="CG2" s="85"/>
      <c r="CH2" s="85"/>
      <c r="CI2" s="86"/>
      <c r="CJ2" s="102"/>
    </row>
    <row r="3" spans="1:88" s="63" customFormat="1" ht="28.5" customHeight="1" thickBot="1" x14ac:dyDescent="0.3">
      <c r="A3" s="116">
        <v>1</v>
      </c>
      <c r="B3" s="13" t="s">
        <v>287</v>
      </c>
      <c r="C3" s="14">
        <v>1</v>
      </c>
      <c r="D3" s="49">
        <f>C3</f>
        <v>1</v>
      </c>
      <c r="E3" s="15"/>
      <c r="F3" s="50"/>
      <c r="G3" s="15">
        <v>456</v>
      </c>
      <c r="H3" s="50"/>
      <c r="I3" s="15">
        <v>12</v>
      </c>
      <c r="J3" s="50"/>
      <c r="K3" s="51">
        <f t="shared" ref="K3:K18" si="0">IF(G3="","",G3/I3)</f>
        <v>38</v>
      </c>
      <c r="L3" s="52"/>
      <c r="M3" s="14"/>
      <c r="N3" s="53" t="str">
        <f>IF(M$1="SIM",IF(M3="","1",VLOOKUP(M3,Dicionários!$A$2:$B$22,2,0)),"1")</f>
        <v>1</v>
      </c>
      <c r="O3" s="14"/>
      <c r="P3" s="53" t="str">
        <f>IF(O$1="SIM",IF(O3="","1",VLOOKUP(O3,Dicionários!$C$2:$D$22,2,0)),"1")</f>
        <v>1</v>
      </c>
      <c r="Q3" s="14"/>
      <c r="R3" s="53" t="str">
        <f>IF(Q$1="SIM",IF(Q3="","1",VLOOKUP(Q3,Dicionários!$E$2:$F$22,2,0)),"1")</f>
        <v>1</v>
      </c>
      <c r="S3" s="14"/>
      <c r="T3" s="53" t="str">
        <f>IF(S$1="SIM",IF(S3="","1",VLOOKUP(S3,Dicionários!$G$2:$H$22,2,0)),"1")</f>
        <v>1</v>
      </c>
      <c r="U3" s="14"/>
      <c r="V3" s="53" t="str">
        <f>IF(U$1="SIM",IF(U3="","1",VLOOKUP(U3,Dicionários!$I$2:$J$22,2,0)),"1")</f>
        <v>1</v>
      </c>
      <c r="W3" s="14"/>
      <c r="X3" s="53" t="str">
        <f>IF(W$1="SIM",IF(W3="","1",VLOOKUP(W3,Dicionários!$K$2:$L$22,2,0)),"1")</f>
        <v>1</v>
      </c>
      <c r="Y3" s="14"/>
      <c r="Z3" s="53" t="str">
        <f>IF(Y$1="SIM",IF(Y3="","1",VLOOKUP(Y3,Dicionários!$M$2:$N$12,2,0)),"1")</f>
        <v>1</v>
      </c>
      <c r="AA3" s="14"/>
      <c r="AB3" s="49"/>
      <c r="AC3" s="14"/>
      <c r="AD3" s="53" t="str">
        <f>IF(AC$1="SIM",IF(AC3="","1",VLOOKUP(AC3,Dicionários!$O$2:$Q$22,$AD$2,0)),"1")</f>
        <v>1</v>
      </c>
      <c r="AE3" s="26">
        <v>750000</v>
      </c>
      <c r="AF3" s="54">
        <f>IF(AE3="","",IF($AH$1="Terreno",AE3/G3,AE3/E3))</f>
        <v>1644.7368421052631</v>
      </c>
      <c r="AG3" s="27">
        <v>1</v>
      </c>
      <c r="AH3" s="54">
        <f>IF(AE3="","",AF3*AG3)</f>
        <v>1644.7368421052631</v>
      </c>
      <c r="AI3" s="47"/>
      <c r="AJ3" s="55" t="str">
        <f>IF(E3="","",E3/$E$18)</f>
        <v/>
      </c>
      <c r="AK3" s="56">
        <f>ABS(E3-$E$18)</f>
        <v>0</v>
      </c>
      <c r="AL3" s="56">
        <f>0.3*$E$18</f>
        <v>0</v>
      </c>
      <c r="AM3" s="55">
        <f>IF(AK3&lt;=AL3,0.25,0.125)</f>
        <v>0.25</v>
      </c>
      <c r="AN3" s="57"/>
      <c r="AO3" s="55">
        <f>IF(G3="","",G3/$G$18)</f>
        <v>0.91200000000000003</v>
      </c>
      <c r="AP3" s="56">
        <f t="shared" ref="AP3:AP17" si="1">ABS(G3-$G$18)</f>
        <v>44</v>
      </c>
      <c r="AQ3" s="56">
        <f t="shared" ref="AQ3:AQ17" si="2">0.3*$G$18</f>
        <v>150</v>
      </c>
      <c r="AR3" s="55">
        <f>IF(AP3&lt;=AQ3,0.25,0.125)</f>
        <v>0.25</v>
      </c>
      <c r="AS3" s="58"/>
      <c r="AT3" s="59">
        <f t="shared" ref="AT3:AT18" si="3">IF(AND(G3&gt;5000,K3&gt;90),1,0)</f>
        <v>0</v>
      </c>
      <c r="AU3" s="59">
        <f t="shared" ref="AU3:AU18" si="4">IF(I3=0,1,IF(AT3=1,(4.8*(I3^2)*(G3^-0.4)),IF(K3&lt;20,ROUND((K3/20)^0.5,3),IF(K3&lt;33,1,IF(K3&lt;90,ROUND((33/K3)^0.5,3),0.6)))))</f>
        <v>0.93200000000000005</v>
      </c>
      <c r="AV3" s="47"/>
      <c r="AW3" s="60">
        <f>IF(C3="",1,IF(C$1="SIM",$C$18/C3,1))</f>
        <v>1</v>
      </c>
      <c r="AX3" s="60">
        <f>IF(E3="",1,IF(E$1="SIM",AJ3^AM3,1))</f>
        <v>1</v>
      </c>
      <c r="AY3" s="60">
        <f>IF(G3="",1,IF(G$1="SIM",AO3^AR3,1))</f>
        <v>0.97723431729809085</v>
      </c>
      <c r="AZ3" s="60">
        <f>IF(K3="",1,IF(K$1="SIM",$AU$18/AU3,1))</f>
        <v>0.87124463519313311</v>
      </c>
      <c r="BA3" s="60">
        <f>IF(M$1="SIM",$N$18/N3,1)</f>
        <v>1</v>
      </c>
      <c r="BB3" s="60">
        <f>IF(O$1="SIM",$P$18/P3,1)</f>
        <v>1</v>
      </c>
      <c r="BC3" s="60">
        <f>IF(Q$1="SIM",$R$18/R3,1)</f>
        <v>1</v>
      </c>
      <c r="BD3" s="60">
        <f>IF(S$1="SIM",$T$18/T3,1)</f>
        <v>1</v>
      </c>
      <c r="BE3" s="60">
        <f>IF(U$1="SIM",$V$18/V3,1)</f>
        <v>1</v>
      </c>
      <c r="BF3" s="60">
        <f>IF(W$1="SIM",$X$18/X3,1)</f>
        <v>1</v>
      </c>
      <c r="BG3" s="60">
        <f>IF(Y$1="SIM",$Z$18/Z3,1)</f>
        <v>1</v>
      </c>
      <c r="BH3" s="60">
        <f t="shared" ref="BH3:BH17" si="5">IF(AA3-$AA$18=0,1,1-0.067*(AA3-$AA$18))</f>
        <v>1</v>
      </c>
      <c r="BI3" s="60">
        <f>IF(AC$1="SIM",$AD$18/AD3,1)</f>
        <v>1</v>
      </c>
      <c r="BJ3" s="61">
        <f t="shared" ref="BJ3:BJ17" si="6">1/1+((AW3-1)+(AX3-1)+(AY3-1)+(AZ3-1))+(BA3-1)+(BB3-1)+(BC3-1)+(BD3-1)+(BE3-1)+(BF3-1)+(BG3-1)+(BH3-1)+(BI3-1)</f>
        <v>0.84847895249122396</v>
      </c>
      <c r="BK3" s="47"/>
      <c r="BL3" s="62">
        <f t="shared" ref="BL3:BL16" si="7">IF(AH3="","",BJ3*AH3)</f>
        <v>1395.5245929131972</v>
      </c>
      <c r="BM3" s="62">
        <f t="shared" ref="BM3:BM16" si="8">IF(BL3="","",IF(BR3="Sim",AH3*BJ3,""))</f>
        <v>1395.5245929131972</v>
      </c>
      <c r="BN3" s="62">
        <f t="shared" ref="BN3:BN17" si="9">IF(BM3="","",ABS((BM3-$BM$18)/$BU$15))</f>
        <v>1.1187232045869273</v>
      </c>
      <c r="BO3" s="62">
        <f>IF(BM3="","",VLOOKUP($BU$16,Dicionários!$S$2:$T$31,2,0))</f>
        <v>2.1</v>
      </c>
      <c r="BP3" s="62" t="str">
        <f t="shared" ref="BP3:BP17" si="10">IF(BM3="","",IF(BN3&gt;BO3,"REJEITADO","ACEITO"))</f>
        <v>ACEITO</v>
      </c>
      <c r="BQ3" s="47"/>
      <c r="BR3" s="117" t="s">
        <v>219</v>
      </c>
      <c r="BT3" s="128" t="s">
        <v>187</v>
      </c>
      <c r="BU3" s="132">
        <f>COUNTA(BL3:BL17)</f>
        <v>15</v>
      </c>
      <c r="BV3" s="64"/>
      <c r="BW3" s="88" t="s">
        <v>205</v>
      </c>
      <c r="BX3" s="89"/>
      <c r="BY3" s="40"/>
      <c r="BZ3" s="163">
        <f>IF($AH$1="Terreno",G18,E18)</f>
        <v>500</v>
      </c>
      <c r="CA3" s="163"/>
      <c r="CB3" s="90" t="s">
        <v>204</v>
      </c>
      <c r="CC3" s="91"/>
      <c r="CE3" s="97" t="s">
        <v>217</v>
      </c>
      <c r="CF3" s="98"/>
      <c r="CG3" s="98"/>
      <c r="CH3" s="98"/>
      <c r="CI3" s="98"/>
      <c r="CJ3" s="99"/>
    </row>
    <row r="4" spans="1:88" s="63" customFormat="1" ht="28.5" customHeight="1" thickBot="1" x14ac:dyDescent="0.3">
      <c r="A4" s="118">
        <v>2</v>
      </c>
      <c r="B4" s="16" t="s">
        <v>288</v>
      </c>
      <c r="C4" s="14">
        <v>1</v>
      </c>
      <c r="D4" s="49">
        <f t="shared" ref="D4:D18" si="11">C4</f>
        <v>1</v>
      </c>
      <c r="E4" s="18"/>
      <c r="F4" s="66"/>
      <c r="G4" s="18">
        <v>456</v>
      </c>
      <c r="H4" s="66"/>
      <c r="I4" s="18">
        <v>12</v>
      </c>
      <c r="J4" s="66"/>
      <c r="K4" s="51">
        <f t="shared" si="0"/>
        <v>38</v>
      </c>
      <c r="L4" s="67"/>
      <c r="M4" s="14"/>
      <c r="N4" s="53" t="str">
        <f>IF(M$1="SIM",IF(M4="","1",VLOOKUP(M4,Dicionários!$A$2:$B$22,2,0)),"1")</f>
        <v>1</v>
      </c>
      <c r="O4" s="14"/>
      <c r="P4" s="53" t="str">
        <f>IF(O$1="SIM",IF(O4="","1",VLOOKUP(O4,Dicionários!$C$2:$D$22,2,0)),"1")</f>
        <v>1</v>
      </c>
      <c r="Q4" s="14"/>
      <c r="R4" s="53" t="str">
        <f>IF(Q$1="SIM",IF(Q4="","1",VLOOKUP(Q4,Dicionários!$E$2:$F$22,2,0)),"1")</f>
        <v>1</v>
      </c>
      <c r="S4" s="14"/>
      <c r="T4" s="53" t="str">
        <f>IF(S$1="SIM",IF(S4="","1",VLOOKUP(S4,Dicionários!$G$2:$H$22,2,0)),"1")</f>
        <v>1</v>
      </c>
      <c r="U4" s="14"/>
      <c r="V4" s="53" t="str">
        <f>IF(U$1="SIM",IF(U4="","1",VLOOKUP(U4,Dicionários!$I$2:$J$22,2,0)),"1")</f>
        <v>1</v>
      </c>
      <c r="W4" s="17"/>
      <c r="X4" s="53" t="str">
        <f>IF(W$1="SIM",IF(W4="","1",VLOOKUP(W4,Dicionários!$K$2:$L$22,2,0)),"1")</f>
        <v>1</v>
      </c>
      <c r="Y4" s="17"/>
      <c r="Z4" s="53" t="str">
        <f>IF(Y$1="SIM",IF(Y4="","1",VLOOKUP(Y4,Dicionários!$M$2:$N$12,2,0)),"1")</f>
        <v>1</v>
      </c>
      <c r="AA4" s="17"/>
      <c r="AB4" s="65"/>
      <c r="AC4" s="17"/>
      <c r="AD4" s="53" t="str">
        <f>IF(AC$1="SIM",IF(AC4="","1",VLOOKUP(AC4,Dicionários!$O$2:$Q$22,$AD$2,0)),"1")</f>
        <v>1</v>
      </c>
      <c r="AE4" s="28">
        <v>540000</v>
      </c>
      <c r="AF4" s="54">
        <f t="shared" ref="AF4:AF17" si="12">IF(AE4="","",IF($AH$1="Terreno",AE4/G4,AE4/E4))</f>
        <v>1184.2105263157894</v>
      </c>
      <c r="AG4" s="27">
        <v>1</v>
      </c>
      <c r="AH4" s="54">
        <f t="shared" ref="AH4:AH17" si="13">IF(AE4="","",AF4*AG4)</f>
        <v>1184.2105263157894</v>
      </c>
      <c r="AI4" s="47"/>
      <c r="AJ4" s="55" t="str">
        <f t="shared" ref="AJ4:AJ17" si="14">IF(E4="","",E4/$E$18)</f>
        <v/>
      </c>
      <c r="AK4" s="56">
        <f t="shared" ref="AK4:AK17" si="15">ABS(E4-$E$18)</f>
        <v>0</v>
      </c>
      <c r="AL4" s="56">
        <f t="shared" ref="AL4:AL17" si="16">0.3*$E$18</f>
        <v>0</v>
      </c>
      <c r="AM4" s="55">
        <f t="shared" ref="AM4:AM17" si="17">IF(AK4&lt;=AL4,0.25,0.125)</f>
        <v>0.25</v>
      </c>
      <c r="AN4" s="57"/>
      <c r="AO4" s="55">
        <f t="shared" ref="AO4:AO17" si="18">IF(G4="","",G4/$G$18)</f>
        <v>0.91200000000000003</v>
      </c>
      <c r="AP4" s="56">
        <f t="shared" si="1"/>
        <v>44</v>
      </c>
      <c r="AQ4" s="56">
        <f t="shared" si="2"/>
        <v>150</v>
      </c>
      <c r="AR4" s="55">
        <f t="shared" ref="AR4:AR17" si="19">IF(AP4&lt;=AQ4,0.25,0.125)</f>
        <v>0.25</v>
      </c>
      <c r="AS4" s="58"/>
      <c r="AT4" s="59">
        <f t="shared" si="3"/>
        <v>0</v>
      </c>
      <c r="AU4" s="59">
        <f t="shared" si="4"/>
        <v>0.93200000000000005</v>
      </c>
      <c r="AV4" s="47"/>
      <c r="AW4" s="60">
        <f t="shared" ref="AW4:AW17" si="20">IF(C4="",1,IF(C$1="SIM",$C$18/C4,1))</f>
        <v>1</v>
      </c>
      <c r="AX4" s="60">
        <f t="shared" ref="AX4:AX17" si="21">IF(E4="",1,IF(E$1="SIM",AJ4^AM4,1))</f>
        <v>1</v>
      </c>
      <c r="AY4" s="60">
        <f t="shared" ref="AY4:AY17" si="22">IF(G4="",1,IF(G$1="SIM",AO4^AR4,1))</f>
        <v>0.97723431729809085</v>
      </c>
      <c r="AZ4" s="60">
        <f t="shared" ref="AZ4:AZ17" si="23">IF(K4="",1,IF(K$1="SIM",$AU$18/AU4,1))</f>
        <v>0.87124463519313311</v>
      </c>
      <c r="BA4" s="60">
        <f t="shared" ref="BA4:BA17" si="24">IF(M$1="SIM",$N$18/N4,1)</f>
        <v>1</v>
      </c>
      <c r="BB4" s="60">
        <f t="shared" ref="BB4:BB17" si="25">$P$18/P4</f>
        <v>1</v>
      </c>
      <c r="BC4" s="60">
        <f t="shared" ref="BC4:BC17" si="26">IF(Q$1="SIM",$R$18/R4,1)</f>
        <v>1</v>
      </c>
      <c r="BD4" s="60">
        <f t="shared" ref="BD4:BD17" si="27">IF(S$1="SIM",$T$18/T4,1)</f>
        <v>1</v>
      </c>
      <c r="BE4" s="60">
        <f t="shared" ref="BE4:BE17" si="28">IF(U$1="SIM",$V$18/V4,1)</f>
        <v>1</v>
      </c>
      <c r="BF4" s="60">
        <f t="shared" ref="BF4:BF17" si="29">IF(W$1="SIM",$X$18/X4,1)</f>
        <v>1</v>
      </c>
      <c r="BG4" s="60">
        <f t="shared" ref="BG4:BG17" si="30">IF(Y$1="SIM",$Z$18/Z4,1)</f>
        <v>1</v>
      </c>
      <c r="BH4" s="60">
        <f t="shared" si="5"/>
        <v>1</v>
      </c>
      <c r="BI4" s="60">
        <f t="shared" ref="BI4:BI17" si="31">IF(AC$1="SIM",$AD$18/AD4,1)</f>
        <v>1</v>
      </c>
      <c r="BJ4" s="61">
        <f t="shared" si="6"/>
        <v>0.84847895249122396</v>
      </c>
      <c r="BK4" s="47"/>
      <c r="BL4" s="62">
        <f t="shared" si="7"/>
        <v>1004.777706897502</v>
      </c>
      <c r="BM4" s="62">
        <f t="shared" si="8"/>
        <v>1004.777706897502</v>
      </c>
      <c r="BN4" s="62">
        <f t="shared" si="9"/>
        <v>0.67901973056253973</v>
      </c>
      <c r="BO4" s="62">
        <f>IF(BM4="","",VLOOKUP($BU$16,Dicionários!$S$2:$T$31,2,0))</f>
        <v>2.1</v>
      </c>
      <c r="BP4" s="62" t="str">
        <f t="shared" si="10"/>
        <v>ACEITO</v>
      </c>
      <c r="BQ4" s="47"/>
      <c r="BR4" s="117" t="s">
        <v>219</v>
      </c>
      <c r="BT4" s="128" t="s">
        <v>188</v>
      </c>
      <c r="BU4" s="133">
        <f>BL18</f>
        <v>1152.3654626733128</v>
      </c>
      <c r="BV4" s="64"/>
      <c r="BW4" s="92" t="s">
        <v>269</v>
      </c>
      <c r="BX4" s="89"/>
      <c r="BY4" s="40"/>
      <c r="BZ4" s="89"/>
      <c r="CA4" s="93"/>
      <c r="CB4" s="90"/>
      <c r="CC4" s="91"/>
      <c r="CE4" s="144" t="s">
        <v>218</v>
      </c>
      <c r="CF4" s="145"/>
      <c r="CG4" s="145"/>
      <c r="CH4" s="145"/>
      <c r="CI4" s="145"/>
      <c r="CJ4" s="146"/>
    </row>
    <row r="5" spans="1:88" s="63" customFormat="1" ht="28.5" customHeight="1" thickBot="1" x14ac:dyDescent="0.3">
      <c r="A5" s="116">
        <v>3</v>
      </c>
      <c r="B5" s="16" t="s">
        <v>289</v>
      </c>
      <c r="C5" s="14">
        <v>1</v>
      </c>
      <c r="D5" s="49">
        <f t="shared" si="11"/>
        <v>1</v>
      </c>
      <c r="E5" s="18"/>
      <c r="F5" s="66"/>
      <c r="G5" s="18">
        <v>456</v>
      </c>
      <c r="H5" s="66"/>
      <c r="I5" s="18">
        <v>12</v>
      </c>
      <c r="J5" s="66"/>
      <c r="K5" s="51">
        <f t="shared" si="0"/>
        <v>38</v>
      </c>
      <c r="L5" s="67"/>
      <c r="M5" s="14"/>
      <c r="N5" s="53" t="str">
        <f>IF(M$1="SIM",IF(M5="","1",VLOOKUP(M5,Dicionários!$A$2:$B$22,2,0)),"1")</f>
        <v>1</v>
      </c>
      <c r="O5" s="14"/>
      <c r="P5" s="53" t="str">
        <f>IF(O$1="SIM",IF(O5="","1",VLOOKUP(O5,Dicionários!$C$2:$D$22,2,0)),"1")</f>
        <v>1</v>
      </c>
      <c r="Q5" s="14"/>
      <c r="R5" s="53" t="str">
        <f>IF(Q$1="SIM",IF(Q5="","1",VLOOKUP(Q5,Dicionários!$E$2:$F$22,2,0)),"1")</f>
        <v>1</v>
      </c>
      <c r="S5" s="14"/>
      <c r="T5" s="53" t="str">
        <f>IF(S$1="SIM",IF(S5="","1",VLOOKUP(S5,Dicionários!$G$2:$H$22,2,0)),"1")</f>
        <v>1</v>
      </c>
      <c r="U5" s="14"/>
      <c r="V5" s="53" t="str">
        <f>IF(U$1="SIM",IF(U5="","1",VLOOKUP(U5,Dicionários!$I$2:$J$22,2,0)),"1")</f>
        <v>1</v>
      </c>
      <c r="W5" s="17"/>
      <c r="X5" s="53" t="str">
        <f>IF(W$1="SIM",IF(W5="","1",VLOOKUP(W5,Dicionários!$K$2:$L$22,2,0)),"1")</f>
        <v>1</v>
      </c>
      <c r="Y5" s="17"/>
      <c r="Z5" s="53" t="str">
        <f>IF(Y$1="SIM",IF(Y5="","1",VLOOKUP(Y5,Dicionários!$M$2:$N$12,2,0)),"1")</f>
        <v>1</v>
      </c>
      <c r="AA5" s="17"/>
      <c r="AB5" s="65"/>
      <c r="AC5" s="17"/>
      <c r="AD5" s="53" t="str">
        <f>IF(AC$1="SIM",IF(AC5="","1",VLOOKUP(AC5,Dicionários!$O$2:$Q$22,$AD$2,0)),"1")</f>
        <v>1</v>
      </c>
      <c r="AE5" s="28">
        <v>850000</v>
      </c>
      <c r="AF5" s="54">
        <f t="shared" si="12"/>
        <v>1864.0350877192982</v>
      </c>
      <c r="AG5" s="27">
        <v>0.9</v>
      </c>
      <c r="AH5" s="54">
        <f t="shared" si="13"/>
        <v>1677.6315789473683</v>
      </c>
      <c r="AI5" s="47"/>
      <c r="AJ5" s="55" t="str">
        <f t="shared" si="14"/>
        <v/>
      </c>
      <c r="AK5" s="56">
        <f t="shared" si="15"/>
        <v>0</v>
      </c>
      <c r="AL5" s="56">
        <f t="shared" si="16"/>
        <v>0</v>
      </c>
      <c r="AM5" s="55">
        <f t="shared" si="17"/>
        <v>0.25</v>
      </c>
      <c r="AN5" s="57"/>
      <c r="AO5" s="55">
        <f t="shared" si="18"/>
        <v>0.91200000000000003</v>
      </c>
      <c r="AP5" s="56">
        <f t="shared" si="1"/>
        <v>44</v>
      </c>
      <c r="AQ5" s="56">
        <f t="shared" si="2"/>
        <v>150</v>
      </c>
      <c r="AR5" s="55">
        <f t="shared" si="19"/>
        <v>0.25</v>
      </c>
      <c r="AS5" s="58"/>
      <c r="AT5" s="59">
        <f t="shared" si="3"/>
        <v>0</v>
      </c>
      <c r="AU5" s="59">
        <f t="shared" si="4"/>
        <v>0.93200000000000005</v>
      </c>
      <c r="AV5" s="47"/>
      <c r="AW5" s="60">
        <f t="shared" si="20"/>
        <v>1</v>
      </c>
      <c r="AX5" s="60">
        <f t="shared" si="21"/>
        <v>1</v>
      </c>
      <c r="AY5" s="60">
        <f t="shared" si="22"/>
        <v>0.97723431729809085</v>
      </c>
      <c r="AZ5" s="60">
        <f t="shared" si="23"/>
        <v>0.87124463519313311</v>
      </c>
      <c r="BA5" s="60">
        <f t="shared" si="24"/>
        <v>1</v>
      </c>
      <c r="BB5" s="60">
        <f t="shared" si="25"/>
        <v>1</v>
      </c>
      <c r="BC5" s="60">
        <f t="shared" si="26"/>
        <v>1</v>
      </c>
      <c r="BD5" s="60">
        <f t="shared" si="27"/>
        <v>1</v>
      </c>
      <c r="BE5" s="60">
        <f t="shared" si="28"/>
        <v>1</v>
      </c>
      <c r="BF5" s="60">
        <f t="shared" si="29"/>
        <v>1</v>
      </c>
      <c r="BG5" s="60">
        <f t="shared" si="30"/>
        <v>1</v>
      </c>
      <c r="BH5" s="60">
        <f t="shared" si="5"/>
        <v>1</v>
      </c>
      <c r="BI5" s="60">
        <f t="shared" si="31"/>
        <v>1</v>
      </c>
      <c r="BJ5" s="61">
        <f t="shared" si="6"/>
        <v>0.84847895249122396</v>
      </c>
      <c r="BK5" s="47"/>
      <c r="BL5" s="62">
        <f t="shared" si="7"/>
        <v>1423.4350847714611</v>
      </c>
      <c r="BM5" s="62">
        <f t="shared" si="8"/>
        <v>1423.4350847714611</v>
      </c>
      <c r="BN5" s="62">
        <f t="shared" si="9"/>
        <v>1.2471334142404602</v>
      </c>
      <c r="BO5" s="62">
        <f>IF(BM5="","",VLOOKUP($BU$16,Dicionários!$S$2:$T$31,2,0))</f>
        <v>2.1</v>
      </c>
      <c r="BP5" s="62" t="str">
        <f t="shared" si="10"/>
        <v>ACEITO</v>
      </c>
      <c r="BQ5" s="47"/>
      <c r="BR5" s="117" t="s">
        <v>219</v>
      </c>
      <c r="BT5" s="128" t="s">
        <v>199</v>
      </c>
      <c r="BU5" s="132">
        <f>BU3-1</f>
        <v>14</v>
      </c>
      <c r="BV5" s="64"/>
      <c r="BW5" s="94" t="s">
        <v>212</v>
      </c>
      <c r="BX5" s="89"/>
      <c r="BY5" s="40"/>
      <c r="BZ5" s="89"/>
      <c r="CA5" s="93"/>
      <c r="CB5" s="90"/>
      <c r="CC5" s="91"/>
      <c r="CE5" s="144"/>
      <c r="CF5" s="145"/>
      <c r="CG5" s="145"/>
      <c r="CH5" s="145"/>
      <c r="CI5" s="145"/>
      <c r="CJ5" s="146"/>
    </row>
    <row r="6" spans="1:88" s="63" customFormat="1" ht="28.5" customHeight="1" thickBot="1" x14ac:dyDescent="0.3">
      <c r="A6" s="118">
        <v>4</v>
      </c>
      <c r="B6" s="16" t="s">
        <v>290</v>
      </c>
      <c r="C6" s="14">
        <v>1</v>
      </c>
      <c r="D6" s="49">
        <f t="shared" si="11"/>
        <v>1</v>
      </c>
      <c r="E6" s="18"/>
      <c r="F6" s="66"/>
      <c r="G6" s="18">
        <v>422</v>
      </c>
      <c r="H6" s="66"/>
      <c r="I6" s="18">
        <v>12</v>
      </c>
      <c r="J6" s="66"/>
      <c r="K6" s="51">
        <f t="shared" si="0"/>
        <v>35.166666666666664</v>
      </c>
      <c r="L6" s="67"/>
      <c r="M6" s="14"/>
      <c r="N6" s="53" t="str">
        <f>IF(M$1="SIM",IF(M6="","1",VLOOKUP(M6,Dicionários!$A$2:$B$22,2,0)),"1")</f>
        <v>1</v>
      </c>
      <c r="O6" s="14"/>
      <c r="P6" s="53" t="str">
        <f>IF(O$1="SIM",IF(O6="","1",VLOOKUP(O6,Dicionários!$C$2:$D$22,2,0)),"1")</f>
        <v>1</v>
      </c>
      <c r="Q6" s="14"/>
      <c r="R6" s="53" t="str">
        <f>IF(Q$1="SIM",IF(Q6="","1",VLOOKUP(Q6,Dicionários!$E$2:$F$22,2,0)),"1")</f>
        <v>1</v>
      </c>
      <c r="S6" s="14"/>
      <c r="T6" s="53" t="str">
        <f>IF(S$1="SIM",IF(S6="","1",VLOOKUP(S6,Dicionários!$G$2:$H$22,2,0)),"1")</f>
        <v>1</v>
      </c>
      <c r="U6" s="14"/>
      <c r="V6" s="53" t="str">
        <f>IF(U$1="SIM",IF(U6="","1",VLOOKUP(U6,Dicionários!$I$2:$J$22,2,0)),"1")</f>
        <v>1</v>
      </c>
      <c r="W6" s="17"/>
      <c r="X6" s="53" t="str">
        <f>IF(W$1="SIM",IF(W6="","1",VLOOKUP(W6,Dicionários!$K$2:$L$22,2,0)),"1")</f>
        <v>1</v>
      </c>
      <c r="Y6" s="17"/>
      <c r="Z6" s="53" t="str">
        <f>IF(Y$1="SIM",IF(Y6="","1",VLOOKUP(Y6,Dicionários!$M$2:$N$12,2,0)),"1")</f>
        <v>1</v>
      </c>
      <c r="AA6" s="17"/>
      <c r="AB6" s="65"/>
      <c r="AC6" s="17"/>
      <c r="AD6" s="53" t="str">
        <f>IF(AC$1="SIM",IF(AC6="","1",VLOOKUP(AC6,Dicionários!$O$2:$Q$22,$AD$2,0)),"1")</f>
        <v>1</v>
      </c>
      <c r="AE6" s="28">
        <v>530000</v>
      </c>
      <c r="AF6" s="54">
        <f t="shared" si="12"/>
        <v>1255.9241706161138</v>
      </c>
      <c r="AG6" s="27">
        <v>0.9</v>
      </c>
      <c r="AH6" s="54">
        <f t="shared" si="13"/>
        <v>1130.3317535545025</v>
      </c>
      <c r="AI6" s="47"/>
      <c r="AJ6" s="55" t="str">
        <f t="shared" si="14"/>
        <v/>
      </c>
      <c r="AK6" s="56">
        <f t="shared" si="15"/>
        <v>0</v>
      </c>
      <c r="AL6" s="56">
        <f t="shared" si="16"/>
        <v>0</v>
      </c>
      <c r="AM6" s="55">
        <f t="shared" si="17"/>
        <v>0.25</v>
      </c>
      <c r="AN6" s="57"/>
      <c r="AO6" s="55">
        <f t="shared" si="18"/>
        <v>0.84399999999999997</v>
      </c>
      <c r="AP6" s="56">
        <f t="shared" si="1"/>
        <v>78</v>
      </c>
      <c r="AQ6" s="56">
        <f t="shared" si="2"/>
        <v>150</v>
      </c>
      <c r="AR6" s="55">
        <f t="shared" si="19"/>
        <v>0.25</v>
      </c>
      <c r="AS6" s="58"/>
      <c r="AT6" s="59">
        <f t="shared" si="3"/>
        <v>0</v>
      </c>
      <c r="AU6" s="59">
        <f t="shared" si="4"/>
        <v>0.96899999999999997</v>
      </c>
      <c r="AV6" s="47"/>
      <c r="AW6" s="60">
        <f t="shared" si="20"/>
        <v>1</v>
      </c>
      <c r="AX6" s="60">
        <f t="shared" si="21"/>
        <v>1</v>
      </c>
      <c r="AY6" s="60">
        <f t="shared" si="22"/>
        <v>0.95848564216083498</v>
      </c>
      <c r="AZ6" s="60">
        <f>IF(K6="",1,IF(K$1="SIM",$AU$18/AU6,1))</f>
        <v>0.83797729618163064</v>
      </c>
      <c r="BA6" s="60">
        <f t="shared" si="24"/>
        <v>1</v>
      </c>
      <c r="BB6" s="60">
        <f t="shared" si="25"/>
        <v>1</v>
      </c>
      <c r="BC6" s="60">
        <f t="shared" si="26"/>
        <v>1</v>
      </c>
      <c r="BD6" s="60">
        <f t="shared" si="27"/>
        <v>1</v>
      </c>
      <c r="BE6" s="60">
        <f t="shared" si="28"/>
        <v>1</v>
      </c>
      <c r="BF6" s="60">
        <f t="shared" si="29"/>
        <v>1</v>
      </c>
      <c r="BG6" s="60">
        <f t="shared" si="30"/>
        <v>1</v>
      </c>
      <c r="BH6" s="60">
        <f t="shared" si="5"/>
        <v>1</v>
      </c>
      <c r="BI6" s="60">
        <f t="shared" si="31"/>
        <v>1</v>
      </c>
      <c r="BJ6" s="61">
        <f t="shared" si="6"/>
        <v>0.79646293834246562</v>
      </c>
      <c r="BK6" s="47"/>
      <c r="BL6" s="62">
        <f t="shared" si="7"/>
        <v>900.26734973781072</v>
      </c>
      <c r="BM6" s="62">
        <f t="shared" si="8"/>
        <v>900.26734973781072</v>
      </c>
      <c r="BN6" s="62">
        <f t="shared" si="9"/>
        <v>1.1598495540566052</v>
      </c>
      <c r="BO6" s="62">
        <f>IF(BM6="","",VLOOKUP($BU$16,Dicionários!$S$2:$T$31,2,0))</f>
        <v>2.1</v>
      </c>
      <c r="BP6" s="62" t="str">
        <f t="shared" si="10"/>
        <v>ACEITO</v>
      </c>
      <c r="BQ6" s="47"/>
      <c r="BR6" s="117" t="s">
        <v>219</v>
      </c>
      <c r="BT6" s="128" t="s">
        <v>189</v>
      </c>
      <c r="BU6" s="133">
        <f>LARGE($BL$3:$BL$17,1)</f>
        <v>1576.6709155185124</v>
      </c>
      <c r="BV6" s="64"/>
      <c r="BW6" s="158" t="s">
        <v>213</v>
      </c>
      <c r="BX6" s="159"/>
      <c r="BY6" s="159"/>
      <c r="BZ6" s="160">
        <f>BU14</f>
        <v>1152.3654626733128</v>
      </c>
      <c r="CA6" s="160"/>
      <c r="CB6" s="90"/>
      <c r="CC6" s="91"/>
      <c r="CE6" s="144"/>
      <c r="CF6" s="145"/>
      <c r="CG6" s="145"/>
      <c r="CH6" s="145"/>
      <c r="CI6" s="145"/>
      <c r="CJ6" s="146"/>
    </row>
    <row r="7" spans="1:88" s="63" customFormat="1" ht="28.5" customHeight="1" thickBot="1" x14ac:dyDescent="0.3">
      <c r="A7" s="116">
        <v>5</v>
      </c>
      <c r="B7" s="16" t="s">
        <v>291</v>
      </c>
      <c r="C7" s="14">
        <v>1</v>
      </c>
      <c r="D7" s="49">
        <f t="shared" si="11"/>
        <v>1</v>
      </c>
      <c r="E7" s="18"/>
      <c r="F7" s="66"/>
      <c r="G7" s="18">
        <v>705</v>
      </c>
      <c r="H7" s="66"/>
      <c r="I7" s="18">
        <v>16</v>
      </c>
      <c r="J7" s="66"/>
      <c r="K7" s="51">
        <f t="shared" si="0"/>
        <v>44.0625</v>
      </c>
      <c r="L7" s="67"/>
      <c r="M7" s="14"/>
      <c r="N7" s="53" t="str">
        <f>IF(M$1="SIM",IF(M7="","1",VLOOKUP(M7,Dicionários!$A$2:$B$22,2,0)),"1")</f>
        <v>1</v>
      </c>
      <c r="O7" s="14"/>
      <c r="P7" s="53" t="str">
        <f>IF(O$1="SIM",IF(O7="","1",VLOOKUP(O7,Dicionários!$C$2:$D$22,2,0)),"1")</f>
        <v>1</v>
      </c>
      <c r="Q7" s="14"/>
      <c r="R7" s="53" t="str">
        <f>IF(Q$1="SIM",IF(Q7="","1",VLOOKUP(Q7,Dicionários!$E$2:$F$22,2,0)),"1")</f>
        <v>1</v>
      </c>
      <c r="S7" s="14"/>
      <c r="T7" s="53" t="str">
        <f>IF(S$1="SIM",IF(S7="","1",VLOOKUP(S7,Dicionários!$G$2:$H$22,2,0)),"1")</f>
        <v>1</v>
      </c>
      <c r="U7" s="14"/>
      <c r="V7" s="53" t="str">
        <f>IF(U$1="SIM",IF(U7="","1",VLOOKUP(U7,Dicionários!$I$2:$J$22,2,0)),"1")</f>
        <v>1</v>
      </c>
      <c r="W7" s="17"/>
      <c r="X7" s="53" t="str">
        <f>IF(W$1="SIM",IF(W7="","1",VLOOKUP(W7,Dicionários!$K$2:$L$22,2,0)),"1")</f>
        <v>1</v>
      </c>
      <c r="Y7" s="17"/>
      <c r="Z7" s="53" t="str">
        <f>IF(Y$1="SIM",IF(Y7="","1",VLOOKUP(Y7,Dicionários!$M$2:$N$12,2,0)),"1")</f>
        <v>1</v>
      </c>
      <c r="AA7" s="17"/>
      <c r="AB7" s="65"/>
      <c r="AC7" s="17"/>
      <c r="AD7" s="53" t="str">
        <f>IF(AC$1="SIM",IF(AC7="","1",VLOOKUP(AC7,Dicionários!$O$2:$Q$22,$AD$2,0)),"1")</f>
        <v>1</v>
      </c>
      <c r="AE7" s="28">
        <v>745000</v>
      </c>
      <c r="AF7" s="54">
        <f t="shared" si="12"/>
        <v>1056.7375886524824</v>
      </c>
      <c r="AG7" s="27">
        <v>0.9</v>
      </c>
      <c r="AH7" s="54">
        <f t="shared" si="13"/>
        <v>951.06382978723411</v>
      </c>
      <c r="AI7" s="47"/>
      <c r="AJ7" s="55" t="str">
        <f t="shared" si="14"/>
        <v/>
      </c>
      <c r="AK7" s="56">
        <f t="shared" si="15"/>
        <v>0</v>
      </c>
      <c r="AL7" s="56">
        <f t="shared" si="16"/>
        <v>0</v>
      </c>
      <c r="AM7" s="55">
        <f t="shared" si="17"/>
        <v>0.25</v>
      </c>
      <c r="AN7" s="57"/>
      <c r="AO7" s="55">
        <f t="shared" si="18"/>
        <v>1.41</v>
      </c>
      <c r="AP7" s="56">
        <f t="shared" si="1"/>
        <v>205</v>
      </c>
      <c r="AQ7" s="56">
        <f t="shared" si="2"/>
        <v>150</v>
      </c>
      <c r="AR7" s="55">
        <f t="shared" si="19"/>
        <v>0.125</v>
      </c>
      <c r="AS7" s="58"/>
      <c r="AT7" s="59">
        <f t="shared" si="3"/>
        <v>0</v>
      </c>
      <c r="AU7" s="59">
        <f t="shared" si="4"/>
        <v>0.86499999999999999</v>
      </c>
      <c r="AV7" s="47"/>
      <c r="AW7" s="60">
        <f t="shared" si="20"/>
        <v>1</v>
      </c>
      <c r="AX7" s="60">
        <f t="shared" si="21"/>
        <v>1</v>
      </c>
      <c r="AY7" s="60">
        <f t="shared" si="22"/>
        <v>1.0438843558316397</v>
      </c>
      <c r="AZ7" s="60">
        <f t="shared" si="23"/>
        <v>0.93872832369942205</v>
      </c>
      <c r="BA7" s="60">
        <f t="shared" si="24"/>
        <v>1</v>
      </c>
      <c r="BB7" s="60">
        <f t="shared" si="25"/>
        <v>1</v>
      </c>
      <c r="BC7" s="60">
        <f t="shared" si="26"/>
        <v>1</v>
      </c>
      <c r="BD7" s="60">
        <f t="shared" si="27"/>
        <v>1</v>
      </c>
      <c r="BE7" s="60">
        <f t="shared" si="28"/>
        <v>1</v>
      </c>
      <c r="BF7" s="60">
        <f t="shared" si="29"/>
        <v>1</v>
      </c>
      <c r="BG7" s="60">
        <f t="shared" si="30"/>
        <v>1</v>
      </c>
      <c r="BH7" s="60">
        <f t="shared" si="5"/>
        <v>1</v>
      </c>
      <c r="BI7" s="60">
        <f t="shared" si="31"/>
        <v>1</v>
      </c>
      <c r="BJ7" s="61">
        <f t="shared" si="6"/>
        <v>0.98261267953106179</v>
      </c>
      <c r="BK7" s="47"/>
      <c r="BL7" s="62">
        <f t="shared" si="7"/>
        <v>934.52737819230776</v>
      </c>
      <c r="BM7" s="62">
        <f t="shared" si="8"/>
        <v>934.52737819230776</v>
      </c>
      <c r="BN7" s="62">
        <f t="shared" si="9"/>
        <v>1.0022264831727647</v>
      </c>
      <c r="BO7" s="62">
        <f>IF(BM7="","",VLOOKUP($BU$16,Dicionários!$S$2:$T$31,2,0))</f>
        <v>2.1</v>
      </c>
      <c r="BP7" s="62" t="str">
        <f t="shared" si="10"/>
        <v>ACEITO</v>
      </c>
      <c r="BQ7" s="47"/>
      <c r="BR7" s="117" t="s">
        <v>219</v>
      </c>
      <c r="BT7" s="128" t="s">
        <v>190</v>
      </c>
      <c r="BU7" s="133">
        <f>SMALL($BL$3:$BL$17,1)</f>
        <v>900.26734973781072</v>
      </c>
      <c r="BV7" s="64"/>
      <c r="BW7" s="158" t="s">
        <v>208</v>
      </c>
      <c r="BX7" s="159"/>
      <c r="BY7" s="159"/>
      <c r="BZ7" s="160">
        <f>BU18</f>
        <v>979.51064327231586</v>
      </c>
      <c r="CA7" s="160"/>
      <c r="CB7" s="90"/>
      <c r="CC7" s="91"/>
      <c r="CE7" s="144"/>
      <c r="CF7" s="145"/>
      <c r="CG7" s="145"/>
      <c r="CH7" s="145"/>
      <c r="CI7" s="145"/>
      <c r="CJ7" s="146"/>
    </row>
    <row r="8" spans="1:88" s="63" customFormat="1" ht="28.5" customHeight="1" thickBot="1" x14ac:dyDescent="0.3">
      <c r="A8" s="118">
        <v>6</v>
      </c>
      <c r="B8" s="16" t="s">
        <v>292</v>
      </c>
      <c r="C8" s="14">
        <v>1</v>
      </c>
      <c r="D8" s="49">
        <f t="shared" si="11"/>
        <v>1</v>
      </c>
      <c r="E8" s="18"/>
      <c r="F8" s="66"/>
      <c r="G8" s="18">
        <v>432</v>
      </c>
      <c r="H8" s="66"/>
      <c r="I8" s="18">
        <v>18</v>
      </c>
      <c r="J8" s="66"/>
      <c r="K8" s="51">
        <f t="shared" si="0"/>
        <v>24</v>
      </c>
      <c r="L8" s="67"/>
      <c r="M8" s="14"/>
      <c r="N8" s="53" t="str">
        <f>IF(M$1="SIM",IF(M8="","1",VLOOKUP(M8,Dicionários!$A$2:$B$22,2,0)),"1")</f>
        <v>1</v>
      </c>
      <c r="O8" s="14"/>
      <c r="P8" s="53" t="str">
        <f>IF(O$1="SIM",IF(O8="","1",VLOOKUP(O8,Dicionários!$C$2:$D$22,2,0)),"1")</f>
        <v>1</v>
      </c>
      <c r="Q8" s="14"/>
      <c r="R8" s="53" t="str">
        <f>IF(Q$1="SIM",IF(Q8="","1",VLOOKUP(Q8,Dicionários!$E$2:$F$22,2,0)),"1")</f>
        <v>1</v>
      </c>
      <c r="S8" s="14"/>
      <c r="T8" s="53" t="str">
        <f>IF(S$1="SIM",IF(S8="","1",VLOOKUP(S8,Dicionários!$G$2:$H$22,2,0)),"1")</f>
        <v>1</v>
      </c>
      <c r="U8" s="14"/>
      <c r="V8" s="53" t="str">
        <f>IF(U$1="SIM",IF(U8="","1",VLOOKUP(U8,Dicionários!$I$2:$J$22,2,0)),"1")</f>
        <v>1</v>
      </c>
      <c r="W8" s="17"/>
      <c r="X8" s="53" t="str">
        <f>IF(W$1="SIM",IF(W8="","1",VLOOKUP(W8,Dicionários!$K$2:$L$22,2,0)),"1")</f>
        <v>1</v>
      </c>
      <c r="Y8" s="17"/>
      <c r="Z8" s="53" t="str">
        <f>IF(Y$1="SIM",IF(Y8="","1",VLOOKUP(Y8,Dicionários!$M$2:$N$12,2,0)),"1")</f>
        <v>1</v>
      </c>
      <c r="AA8" s="17"/>
      <c r="AB8" s="65"/>
      <c r="AC8" s="17"/>
      <c r="AD8" s="53" t="str">
        <f>IF(AC$1="SIM",IF(AC8="","1",VLOOKUP(AC8,Dicionários!$O$2:$Q$22,$AD$2,0)),"1")</f>
        <v>1</v>
      </c>
      <c r="AE8" s="28">
        <v>630000</v>
      </c>
      <c r="AF8" s="54">
        <f t="shared" si="12"/>
        <v>1458.3333333333333</v>
      </c>
      <c r="AG8" s="27">
        <v>0.9</v>
      </c>
      <c r="AH8" s="54">
        <f t="shared" si="13"/>
        <v>1312.5</v>
      </c>
      <c r="AI8" s="47"/>
      <c r="AJ8" s="55" t="str">
        <f t="shared" si="14"/>
        <v/>
      </c>
      <c r="AK8" s="56">
        <f t="shared" si="15"/>
        <v>0</v>
      </c>
      <c r="AL8" s="56">
        <f t="shared" si="16"/>
        <v>0</v>
      </c>
      <c r="AM8" s="55">
        <f t="shared" si="17"/>
        <v>0.25</v>
      </c>
      <c r="AN8" s="57"/>
      <c r="AO8" s="55">
        <f t="shared" si="18"/>
        <v>0.86399999999999999</v>
      </c>
      <c r="AP8" s="56">
        <f t="shared" si="1"/>
        <v>68</v>
      </c>
      <c r="AQ8" s="56">
        <f t="shared" si="2"/>
        <v>150</v>
      </c>
      <c r="AR8" s="55">
        <f t="shared" si="19"/>
        <v>0.25</v>
      </c>
      <c r="AS8" s="58"/>
      <c r="AT8" s="59">
        <f t="shared" si="3"/>
        <v>0</v>
      </c>
      <c r="AU8" s="59">
        <f t="shared" si="4"/>
        <v>1</v>
      </c>
      <c r="AV8" s="47"/>
      <c r="AW8" s="60">
        <f t="shared" si="20"/>
        <v>1</v>
      </c>
      <c r="AX8" s="60">
        <f t="shared" si="21"/>
        <v>1</v>
      </c>
      <c r="AY8" s="60">
        <f t="shared" si="22"/>
        <v>0.96411410273358211</v>
      </c>
      <c r="AZ8" s="60">
        <f t="shared" si="23"/>
        <v>0.81200000000000006</v>
      </c>
      <c r="BA8" s="60">
        <f t="shared" si="24"/>
        <v>1</v>
      </c>
      <c r="BB8" s="60">
        <f t="shared" si="25"/>
        <v>1</v>
      </c>
      <c r="BC8" s="60">
        <f t="shared" si="26"/>
        <v>1</v>
      </c>
      <c r="BD8" s="60">
        <f t="shared" si="27"/>
        <v>1</v>
      </c>
      <c r="BE8" s="60">
        <f t="shared" si="28"/>
        <v>1</v>
      </c>
      <c r="BF8" s="60">
        <f t="shared" si="29"/>
        <v>1</v>
      </c>
      <c r="BG8" s="60">
        <f t="shared" si="30"/>
        <v>1</v>
      </c>
      <c r="BH8" s="60">
        <f t="shared" si="5"/>
        <v>1</v>
      </c>
      <c r="BI8" s="60">
        <f t="shared" si="31"/>
        <v>1</v>
      </c>
      <c r="BJ8" s="61">
        <f t="shared" si="6"/>
        <v>0.77611410273358217</v>
      </c>
      <c r="BK8" s="47"/>
      <c r="BL8" s="62">
        <f t="shared" si="7"/>
        <v>1018.6497598378267</v>
      </c>
      <c r="BM8" s="62">
        <f t="shared" si="8"/>
        <v>1018.6497598378267</v>
      </c>
      <c r="BN8" s="62">
        <f t="shared" si="9"/>
        <v>0.61519737890216997</v>
      </c>
      <c r="BO8" s="62">
        <f>IF(BM8="","",VLOOKUP($BU$16,Dicionários!$S$2:$T$31,2,0))</f>
        <v>2.1</v>
      </c>
      <c r="BP8" s="62" t="str">
        <f t="shared" si="10"/>
        <v>ACEITO</v>
      </c>
      <c r="BQ8" s="47"/>
      <c r="BR8" s="117" t="s">
        <v>219</v>
      </c>
      <c r="BT8" s="128" t="s">
        <v>206</v>
      </c>
      <c r="BU8" s="133">
        <f>1.15*$BU$4</f>
        <v>1325.2202820743096</v>
      </c>
      <c r="BV8" s="64"/>
      <c r="BW8" s="158" t="s">
        <v>209</v>
      </c>
      <c r="BX8" s="159"/>
      <c r="BY8" s="159"/>
      <c r="BZ8" s="160">
        <f>BU17</f>
        <v>1325.2202820743096</v>
      </c>
      <c r="CA8" s="160"/>
      <c r="CB8" s="90"/>
      <c r="CC8" s="91"/>
      <c r="CE8" s="144"/>
      <c r="CF8" s="145"/>
      <c r="CG8" s="145"/>
      <c r="CH8" s="145"/>
      <c r="CI8" s="145"/>
      <c r="CJ8" s="146"/>
    </row>
    <row r="9" spans="1:88" s="63" customFormat="1" ht="28.5" customHeight="1" thickBot="1" x14ac:dyDescent="0.3">
      <c r="A9" s="116">
        <v>7</v>
      </c>
      <c r="B9" s="16" t="s">
        <v>293</v>
      </c>
      <c r="C9" s="14">
        <v>1</v>
      </c>
      <c r="D9" s="49">
        <f t="shared" si="11"/>
        <v>1</v>
      </c>
      <c r="E9" s="18"/>
      <c r="F9" s="66"/>
      <c r="G9" s="18">
        <v>420</v>
      </c>
      <c r="H9" s="66"/>
      <c r="I9" s="18">
        <v>18</v>
      </c>
      <c r="J9" s="66"/>
      <c r="K9" s="51">
        <f t="shared" si="0"/>
        <v>23.333333333333332</v>
      </c>
      <c r="L9" s="67"/>
      <c r="M9" s="14"/>
      <c r="N9" s="53" t="str">
        <f>IF(M$1="SIM",IF(M9="","1",VLOOKUP(M9,Dicionários!$A$2:$B$22,2,0)),"1")</f>
        <v>1</v>
      </c>
      <c r="O9" s="14"/>
      <c r="P9" s="53" t="str">
        <f>IF(O$1="SIM",IF(O9="","1",VLOOKUP(O9,Dicionários!$C$2:$D$22,2,0)),"1")</f>
        <v>1</v>
      </c>
      <c r="Q9" s="14"/>
      <c r="R9" s="53" t="str">
        <f>IF(Q$1="SIM",IF(Q9="","1",VLOOKUP(Q9,Dicionários!$E$2:$F$22,2,0)),"1")</f>
        <v>1</v>
      </c>
      <c r="S9" s="14"/>
      <c r="T9" s="53" t="str">
        <f>IF(S$1="SIM",IF(S9="","1",VLOOKUP(S9,Dicionários!$G$2:$H$22,2,0)),"1")</f>
        <v>1</v>
      </c>
      <c r="U9" s="14"/>
      <c r="V9" s="53" t="str">
        <f>IF(U$1="SIM",IF(U9="","1",VLOOKUP(U9,Dicionários!$I$2:$J$22,2,0)),"1")</f>
        <v>1</v>
      </c>
      <c r="W9" s="17"/>
      <c r="X9" s="53" t="str">
        <f>IF(W$1="SIM",IF(W9="","1",VLOOKUP(W9,Dicionários!$K$2:$L$22,2,0)),"1")</f>
        <v>1</v>
      </c>
      <c r="Y9" s="17"/>
      <c r="Z9" s="53" t="str">
        <f>IF(Y$1="SIM",IF(Y9="","1",VLOOKUP(Y9,Dicionários!$M$2:$N$12,2,0)),"1")</f>
        <v>1</v>
      </c>
      <c r="AA9" s="17"/>
      <c r="AB9" s="65"/>
      <c r="AC9" s="17"/>
      <c r="AD9" s="53" t="str">
        <f>IF(AC$1="SIM",IF(AC9="","1",VLOOKUP(AC9,Dicionários!$O$2:$Q$22,$AD$2,0)),"1")</f>
        <v>1</v>
      </c>
      <c r="AE9" s="28">
        <v>630000</v>
      </c>
      <c r="AF9" s="54">
        <f t="shared" si="12"/>
        <v>1500</v>
      </c>
      <c r="AG9" s="27">
        <v>0.9</v>
      </c>
      <c r="AH9" s="54">
        <f t="shared" si="13"/>
        <v>1350</v>
      </c>
      <c r="AI9" s="47"/>
      <c r="AJ9" s="55" t="str">
        <f t="shared" si="14"/>
        <v/>
      </c>
      <c r="AK9" s="56">
        <f t="shared" si="15"/>
        <v>0</v>
      </c>
      <c r="AL9" s="56">
        <f t="shared" si="16"/>
        <v>0</v>
      </c>
      <c r="AM9" s="55">
        <f t="shared" si="17"/>
        <v>0.25</v>
      </c>
      <c r="AN9" s="57"/>
      <c r="AO9" s="55">
        <f t="shared" si="18"/>
        <v>0.84</v>
      </c>
      <c r="AP9" s="56">
        <f t="shared" si="1"/>
        <v>80</v>
      </c>
      <c r="AQ9" s="56">
        <f t="shared" si="2"/>
        <v>150</v>
      </c>
      <c r="AR9" s="55">
        <f t="shared" si="19"/>
        <v>0.25</v>
      </c>
      <c r="AS9" s="58"/>
      <c r="AT9" s="59">
        <f t="shared" si="3"/>
        <v>0</v>
      </c>
      <c r="AU9" s="59">
        <f t="shared" si="4"/>
        <v>1</v>
      </c>
      <c r="AV9" s="47"/>
      <c r="AW9" s="60">
        <f t="shared" si="20"/>
        <v>1</v>
      </c>
      <c r="AX9" s="60">
        <f t="shared" si="21"/>
        <v>1</v>
      </c>
      <c r="AY9" s="60">
        <f t="shared" si="22"/>
        <v>0.95734797173815955</v>
      </c>
      <c r="AZ9" s="60">
        <f t="shared" si="23"/>
        <v>0.81200000000000006</v>
      </c>
      <c r="BA9" s="60">
        <f t="shared" si="24"/>
        <v>1</v>
      </c>
      <c r="BB9" s="60">
        <f t="shared" si="25"/>
        <v>1</v>
      </c>
      <c r="BC9" s="60">
        <f t="shared" si="26"/>
        <v>1</v>
      </c>
      <c r="BD9" s="60">
        <f t="shared" si="27"/>
        <v>1</v>
      </c>
      <c r="BE9" s="60">
        <f t="shared" si="28"/>
        <v>1</v>
      </c>
      <c r="BF9" s="60">
        <f t="shared" si="29"/>
        <v>1</v>
      </c>
      <c r="BG9" s="60">
        <f t="shared" si="30"/>
        <v>1</v>
      </c>
      <c r="BH9" s="60">
        <f t="shared" si="5"/>
        <v>1</v>
      </c>
      <c r="BI9" s="60">
        <f t="shared" si="31"/>
        <v>1</v>
      </c>
      <c r="BJ9" s="61">
        <f t="shared" si="6"/>
        <v>0.76934797173815961</v>
      </c>
      <c r="BK9" s="47"/>
      <c r="BL9" s="62">
        <f t="shared" si="7"/>
        <v>1038.6197618465155</v>
      </c>
      <c r="BM9" s="62">
        <f t="shared" si="8"/>
        <v>1038.6197618465155</v>
      </c>
      <c r="BN9" s="62">
        <f t="shared" si="9"/>
        <v>0.52331966647275086</v>
      </c>
      <c r="BO9" s="62">
        <f>IF(BM9="","",VLOOKUP($BU$16,Dicionários!$S$2:$T$31,2,0))</f>
        <v>2.1</v>
      </c>
      <c r="BP9" s="62" t="str">
        <f t="shared" si="10"/>
        <v>ACEITO</v>
      </c>
      <c r="BQ9" s="47"/>
      <c r="BR9" s="117" t="s">
        <v>219</v>
      </c>
      <c r="BT9" s="128" t="s">
        <v>207</v>
      </c>
      <c r="BU9" s="133">
        <f>0.85*$BU$4</f>
        <v>979.51064327231586</v>
      </c>
      <c r="BW9" s="158" t="s">
        <v>210</v>
      </c>
      <c r="BX9" s="159"/>
      <c r="BY9" s="159"/>
      <c r="BZ9" s="160">
        <f>BU20</f>
        <v>1074.2339556018483</v>
      </c>
      <c r="CA9" s="160"/>
      <c r="CB9" s="90"/>
      <c r="CC9" s="91"/>
      <c r="CE9" s="144"/>
      <c r="CF9" s="145"/>
      <c r="CG9" s="145"/>
      <c r="CH9" s="145"/>
      <c r="CI9" s="145"/>
      <c r="CJ9" s="146"/>
    </row>
    <row r="10" spans="1:88" s="63" customFormat="1" ht="28.5" customHeight="1" thickBot="1" x14ac:dyDescent="0.3">
      <c r="A10" s="118">
        <v>8</v>
      </c>
      <c r="B10" s="16" t="s">
        <v>294</v>
      </c>
      <c r="C10" s="14">
        <v>1</v>
      </c>
      <c r="D10" s="49">
        <f t="shared" si="11"/>
        <v>1</v>
      </c>
      <c r="E10" s="18"/>
      <c r="F10" s="66"/>
      <c r="G10" s="18">
        <v>519</v>
      </c>
      <c r="H10" s="66"/>
      <c r="I10" s="18">
        <v>12</v>
      </c>
      <c r="J10" s="66"/>
      <c r="K10" s="51">
        <f t="shared" si="0"/>
        <v>43.25</v>
      </c>
      <c r="L10" s="67"/>
      <c r="M10" s="14"/>
      <c r="N10" s="53" t="str">
        <f>IF(M$1="SIM",IF(M10="","1",VLOOKUP(M10,Dicionários!$A$2:$B$22,2,0)),"1")</f>
        <v>1</v>
      </c>
      <c r="O10" s="14"/>
      <c r="P10" s="53" t="str">
        <f>IF(O$1="SIM",IF(O10="","1",VLOOKUP(O10,Dicionários!$C$2:$D$22,2,0)),"1")</f>
        <v>1</v>
      </c>
      <c r="Q10" s="14"/>
      <c r="R10" s="53" t="str">
        <f>IF(Q$1="SIM",IF(Q10="","1",VLOOKUP(Q10,Dicionários!$E$2:$F$22,2,0)),"1")</f>
        <v>1</v>
      </c>
      <c r="S10" s="14"/>
      <c r="T10" s="53" t="str">
        <f>IF(S$1="SIM",IF(S10="","1",VLOOKUP(S10,Dicionários!$G$2:$H$22,2,0)),"1")</f>
        <v>1</v>
      </c>
      <c r="U10" s="14"/>
      <c r="V10" s="53" t="str">
        <f>IF(U$1="SIM",IF(U10="","1",VLOOKUP(U10,Dicionários!$I$2:$J$22,2,0)),"1")</f>
        <v>1</v>
      </c>
      <c r="W10" s="17"/>
      <c r="X10" s="53" t="str">
        <f>IF(W$1="SIM",IF(W10="","1",VLOOKUP(W10,Dicionários!$K$2:$L$22,2,0)),"1")</f>
        <v>1</v>
      </c>
      <c r="Y10" s="17"/>
      <c r="Z10" s="53" t="str">
        <f>IF(Y$1="SIM",IF(Y10="","1",VLOOKUP(Y10,Dicionários!$M$2:$N$12,2,0)),"1")</f>
        <v>1</v>
      </c>
      <c r="AA10" s="17"/>
      <c r="AB10" s="65"/>
      <c r="AC10" s="17"/>
      <c r="AD10" s="53" t="str">
        <f>IF(AC$1="SIM",IF(AC10="","1",VLOOKUP(AC10,Dicionários!$O$2:$Q$22,$AD$2,0)),"1")</f>
        <v>1</v>
      </c>
      <c r="AE10" s="28">
        <v>520000</v>
      </c>
      <c r="AF10" s="54">
        <f t="shared" si="12"/>
        <v>1001.9267822736031</v>
      </c>
      <c r="AG10" s="27">
        <v>1</v>
      </c>
      <c r="AH10" s="54">
        <f t="shared" si="13"/>
        <v>1001.9267822736031</v>
      </c>
      <c r="AI10" s="47"/>
      <c r="AJ10" s="55" t="str">
        <f t="shared" si="14"/>
        <v/>
      </c>
      <c r="AK10" s="56">
        <f t="shared" si="15"/>
        <v>0</v>
      </c>
      <c r="AL10" s="56">
        <f t="shared" si="16"/>
        <v>0</v>
      </c>
      <c r="AM10" s="55">
        <f t="shared" si="17"/>
        <v>0.25</v>
      </c>
      <c r="AN10" s="57"/>
      <c r="AO10" s="55">
        <f t="shared" si="18"/>
        <v>1.038</v>
      </c>
      <c r="AP10" s="56">
        <f t="shared" si="1"/>
        <v>19</v>
      </c>
      <c r="AQ10" s="56">
        <f t="shared" si="2"/>
        <v>150</v>
      </c>
      <c r="AR10" s="55">
        <f t="shared" si="19"/>
        <v>0.25</v>
      </c>
      <c r="AS10" s="58"/>
      <c r="AT10" s="59">
        <f t="shared" si="3"/>
        <v>0</v>
      </c>
      <c r="AU10" s="59">
        <f t="shared" si="4"/>
        <v>0.874</v>
      </c>
      <c r="AV10" s="47"/>
      <c r="AW10" s="60">
        <f t="shared" si="20"/>
        <v>1</v>
      </c>
      <c r="AX10" s="60">
        <f t="shared" si="21"/>
        <v>1</v>
      </c>
      <c r="AY10" s="60">
        <f t="shared" si="22"/>
        <v>1.0093675495853838</v>
      </c>
      <c r="AZ10" s="60">
        <f t="shared" si="23"/>
        <v>0.92906178489702529</v>
      </c>
      <c r="BA10" s="60">
        <f t="shared" si="24"/>
        <v>1</v>
      </c>
      <c r="BB10" s="60">
        <f t="shared" si="25"/>
        <v>1</v>
      </c>
      <c r="BC10" s="60">
        <f t="shared" si="26"/>
        <v>1</v>
      </c>
      <c r="BD10" s="60">
        <f t="shared" si="27"/>
        <v>1</v>
      </c>
      <c r="BE10" s="60">
        <f t="shared" si="28"/>
        <v>1</v>
      </c>
      <c r="BF10" s="60">
        <f t="shared" si="29"/>
        <v>1</v>
      </c>
      <c r="BG10" s="60">
        <f t="shared" si="30"/>
        <v>1</v>
      </c>
      <c r="BH10" s="60">
        <f t="shared" si="5"/>
        <v>1</v>
      </c>
      <c r="BI10" s="60">
        <f t="shared" si="31"/>
        <v>1</v>
      </c>
      <c r="BJ10" s="61">
        <f t="shared" si="6"/>
        <v>0.93842933448240906</v>
      </c>
      <c r="BK10" s="47"/>
      <c r="BL10" s="62">
        <f t="shared" si="7"/>
        <v>940.23748348911886</v>
      </c>
      <c r="BM10" s="62">
        <f t="shared" si="8"/>
        <v>940.23748348911886</v>
      </c>
      <c r="BN10" s="62">
        <f t="shared" si="9"/>
        <v>0.97595550872950498</v>
      </c>
      <c r="BO10" s="62">
        <f>IF(BM10="","",VLOOKUP($BU$16,Dicionários!$S$2:$T$31,2,0))</f>
        <v>2.1</v>
      </c>
      <c r="BP10" s="62" t="str">
        <f t="shared" si="10"/>
        <v>ACEITO</v>
      </c>
      <c r="BQ10" s="47"/>
      <c r="BR10" s="117" t="s">
        <v>219</v>
      </c>
      <c r="BT10" s="128" t="s">
        <v>191</v>
      </c>
      <c r="BU10" s="133">
        <f>STDEV($BL$3:$BL$17)</f>
        <v>217.35414912544658</v>
      </c>
      <c r="BW10" s="158" t="s">
        <v>211</v>
      </c>
      <c r="BX10" s="159"/>
      <c r="BY10" s="159"/>
      <c r="BZ10" s="160">
        <f>BU21</f>
        <v>1230.4969697447773</v>
      </c>
      <c r="CA10" s="160"/>
      <c r="CB10" s="90"/>
      <c r="CC10" s="91"/>
      <c r="CE10" s="144"/>
      <c r="CF10" s="145"/>
      <c r="CG10" s="145"/>
      <c r="CH10" s="145"/>
      <c r="CI10" s="145"/>
      <c r="CJ10" s="146"/>
    </row>
    <row r="11" spans="1:88" s="63" customFormat="1" ht="28.5" customHeight="1" thickBot="1" x14ac:dyDescent="0.3">
      <c r="A11" s="116">
        <v>9</v>
      </c>
      <c r="B11" s="16" t="s">
        <v>295</v>
      </c>
      <c r="C11" s="14">
        <v>1</v>
      </c>
      <c r="D11" s="49">
        <f t="shared" si="11"/>
        <v>1</v>
      </c>
      <c r="E11" s="18"/>
      <c r="F11" s="66"/>
      <c r="G11" s="18">
        <v>624.94000000000005</v>
      </c>
      <c r="H11" s="66"/>
      <c r="I11" s="18">
        <v>12</v>
      </c>
      <c r="J11" s="66"/>
      <c r="K11" s="51">
        <f t="shared" si="0"/>
        <v>52.07833333333334</v>
      </c>
      <c r="L11" s="67"/>
      <c r="M11" s="14"/>
      <c r="N11" s="53" t="str">
        <f>IF(M$1="SIM",IF(M11="","1",VLOOKUP(M11,Dicionários!$A$2:$B$22,2,0)),"1")</f>
        <v>1</v>
      </c>
      <c r="O11" s="14"/>
      <c r="P11" s="53" t="str">
        <f>IF(O$1="SIM",IF(O11="","1",VLOOKUP(O11,Dicionários!$C$2:$D$22,2,0)),"1")</f>
        <v>1</v>
      </c>
      <c r="Q11" s="14"/>
      <c r="R11" s="53" t="str">
        <f>IF(Q$1="SIM",IF(Q11="","1",VLOOKUP(Q11,Dicionários!$E$2:$F$22,2,0)),"1")</f>
        <v>1</v>
      </c>
      <c r="S11" s="14"/>
      <c r="T11" s="53" t="str">
        <f>IF(S$1="SIM",IF(S11="","1",VLOOKUP(S11,Dicionários!$G$2:$H$22,2,0)),"1")</f>
        <v>1</v>
      </c>
      <c r="U11" s="14"/>
      <c r="V11" s="53" t="str">
        <f>IF(U$1="SIM",IF(U11="","1",VLOOKUP(U11,Dicionários!$I$2:$J$22,2,0)),"1")</f>
        <v>1</v>
      </c>
      <c r="W11" s="17"/>
      <c r="X11" s="53" t="str">
        <f>IF(W$1="SIM",IF(W11="","1",VLOOKUP(W11,Dicionários!$K$2:$L$22,2,0)),"1")</f>
        <v>1</v>
      </c>
      <c r="Y11" s="17"/>
      <c r="Z11" s="53" t="str">
        <f>IF(Y$1="SIM",IF(Y11="","1",VLOOKUP(Y11,Dicionários!$M$2:$N$12,2,0)),"1")</f>
        <v>1</v>
      </c>
      <c r="AA11" s="17"/>
      <c r="AB11" s="65"/>
      <c r="AC11" s="17"/>
      <c r="AD11" s="53" t="str">
        <f>IF(AC$1="SIM",IF(AC11="","1",VLOOKUP(AC11,Dicionários!$O$2:$Q$22,$AD$2,0)),"1")</f>
        <v>1</v>
      </c>
      <c r="AE11" s="28">
        <v>914500</v>
      </c>
      <c r="AF11" s="54">
        <f t="shared" si="12"/>
        <v>1463.3404806861458</v>
      </c>
      <c r="AG11" s="27">
        <v>1</v>
      </c>
      <c r="AH11" s="54">
        <f t="shared" si="13"/>
        <v>1463.3404806861458</v>
      </c>
      <c r="AI11" s="47"/>
      <c r="AJ11" s="55" t="str">
        <f t="shared" si="14"/>
        <v/>
      </c>
      <c r="AK11" s="56">
        <f t="shared" si="15"/>
        <v>0</v>
      </c>
      <c r="AL11" s="56">
        <f t="shared" si="16"/>
        <v>0</v>
      </c>
      <c r="AM11" s="55">
        <f t="shared" si="17"/>
        <v>0.25</v>
      </c>
      <c r="AN11" s="57"/>
      <c r="AO11" s="55">
        <f t="shared" si="18"/>
        <v>1.2498800000000001</v>
      </c>
      <c r="AP11" s="56">
        <f t="shared" si="1"/>
        <v>124.94000000000005</v>
      </c>
      <c r="AQ11" s="56">
        <f t="shared" si="2"/>
        <v>150</v>
      </c>
      <c r="AR11" s="55">
        <f t="shared" si="19"/>
        <v>0.25</v>
      </c>
      <c r="AS11" s="58"/>
      <c r="AT11" s="59">
        <f t="shared" si="3"/>
        <v>0</v>
      </c>
      <c r="AU11" s="59">
        <f t="shared" si="4"/>
        <v>0.79600000000000004</v>
      </c>
      <c r="AV11" s="47"/>
      <c r="AW11" s="60">
        <f t="shared" si="20"/>
        <v>1</v>
      </c>
      <c r="AX11" s="60">
        <f t="shared" si="21"/>
        <v>1</v>
      </c>
      <c r="AY11" s="60">
        <f t="shared" si="22"/>
        <v>1.0573458856166216</v>
      </c>
      <c r="AZ11" s="60">
        <f t="shared" si="23"/>
        <v>1.0201005025125629</v>
      </c>
      <c r="BA11" s="60">
        <f t="shared" si="24"/>
        <v>1</v>
      </c>
      <c r="BB11" s="60">
        <f t="shared" si="25"/>
        <v>1</v>
      </c>
      <c r="BC11" s="60">
        <f t="shared" si="26"/>
        <v>1</v>
      </c>
      <c r="BD11" s="60">
        <f t="shared" si="27"/>
        <v>1</v>
      </c>
      <c r="BE11" s="60">
        <f t="shared" si="28"/>
        <v>1</v>
      </c>
      <c r="BF11" s="60">
        <f t="shared" si="29"/>
        <v>1</v>
      </c>
      <c r="BG11" s="60">
        <f t="shared" si="30"/>
        <v>1</v>
      </c>
      <c r="BH11" s="60">
        <f t="shared" si="5"/>
        <v>1</v>
      </c>
      <c r="BI11" s="60">
        <f t="shared" si="31"/>
        <v>1</v>
      </c>
      <c r="BJ11" s="61">
        <f t="shared" si="6"/>
        <v>1.0774463881291845</v>
      </c>
      <c r="BK11" s="47"/>
      <c r="BL11" s="62">
        <f t="shared" si="7"/>
        <v>1576.6709155185124</v>
      </c>
      <c r="BM11" s="62">
        <f t="shared" si="8"/>
        <v>1576.6709155185124</v>
      </c>
      <c r="BN11" s="62">
        <f t="shared" si="9"/>
        <v>1.9521387309717768</v>
      </c>
      <c r="BO11" s="62">
        <f>IF(BM11="","",VLOOKUP($BU$16,Dicionários!$S$2:$T$31,2,0))</f>
        <v>2.1</v>
      </c>
      <c r="BP11" s="62" t="str">
        <f t="shared" si="10"/>
        <v>ACEITO</v>
      </c>
      <c r="BQ11" s="47"/>
      <c r="BR11" s="117" t="s">
        <v>219</v>
      </c>
      <c r="BT11" s="128" t="s">
        <v>192</v>
      </c>
      <c r="BU11" s="133">
        <f>BU10/BU4</f>
        <v>0.18861563988668836</v>
      </c>
      <c r="BW11" s="92" t="s">
        <v>269</v>
      </c>
      <c r="BX11" s="89"/>
      <c r="BY11" s="40"/>
      <c r="BZ11" s="89"/>
      <c r="CA11" s="93"/>
      <c r="CB11" s="90"/>
      <c r="CC11" s="91"/>
      <c r="CE11" s="144"/>
      <c r="CF11" s="145"/>
      <c r="CG11" s="145"/>
      <c r="CH11" s="145"/>
      <c r="CI11" s="145"/>
      <c r="CJ11" s="146"/>
    </row>
    <row r="12" spans="1:88" s="63" customFormat="1" ht="28.5" customHeight="1" thickBot="1" x14ac:dyDescent="0.3">
      <c r="A12" s="118">
        <v>10</v>
      </c>
      <c r="B12" s="16" t="s">
        <v>296</v>
      </c>
      <c r="C12" s="14">
        <v>1</v>
      </c>
      <c r="D12" s="49">
        <f t="shared" si="11"/>
        <v>1</v>
      </c>
      <c r="E12" s="18"/>
      <c r="F12" s="66"/>
      <c r="G12" s="18">
        <v>612.66999999999996</v>
      </c>
      <c r="H12" s="66"/>
      <c r="I12" s="18">
        <v>13.5</v>
      </c>
      <c r="J12" s="66"/>
      <c r="K12" s="51">
        <f t="shared" si="0"/>
        <v>45.382962962962957</v>
      </c>
      <c r="L12" s="67"/>
      <c r="M12" s="14"/>
      <c r="N12" s="53" t="str">
        <f>IF(M$1="SIM",IF(M12="","1",VLOOKUP(M12,Dicionários!$A$2:$B$22,2,0)),"1")</f>
        <v>1</v>
      </c>
      <c r="O12" s="14"/>
      <c r="P12" s="53" t="str">
        <f>IF(O$1="SIM",IF(O12="","1",VLOOKUP(O12,Dicionários!$C$2:$D$22,2,0)),"1")</f>
        <v>1</v>
      </c>
      <c r="Q12" s="14"/>
      <c r="R12" s="53" t="str">
        <f>IF(Q$1="SIM",IF(Q12="","1",VLOOKUP(Q12,Dicionários!$E$2:$F$22,2,0)),"1")</f>
        <v>1</v>
      </c>
      <c r="S12" s="14"/>
      <c r="T12" s="53" t="str">
        <f>IF(S$1="SIM",IF(S12="","1",VLOOKUP(S12,Dicionários!$G$2:$H$22,2,0)),"1")</f>
        <v>1</v>
      </c>
      <c r="U12" s="14"/>
      <c r="V12" s="53" t="str">
        <f>IF(U$1="SIM",IF(U12="","1",VLOOKUP(U12,Dicionários!$I$2:$J$22,2,0)),"1")</f>
        <v>1</v>
      </c>
      <c r="W12" s="17"/>
      <c r="X12" s="53" t="str">
        <f>IF(W$1="SIM",IF(W12="","1",VLOOKUP(W12,Dicionários!$K$2:$L$22,2,0)),"1")</f>
        <v>1</v>
      </c>
      <c r="Y12" s="17"/>
      <c r="Z12" s="53" t="str">
        <f>IF(Y$1="SIM",IF(Y12="","1",VLOOKUP(Y12,Dicionários!$M$2:$N$12,2,0)),"1")</f>
        <v>1</v>
      </c>
      <c r="AA12" s="17"/>
      <c r="AB12" s="65"/>
      <c r="AC12" s="17"/>
      <c r="AD12" s="53" t="str">
        <f>IF(AC$1="SIM",IF(AC12="","1",VLOOKUP(AC12,Dicionários!$O$2:$Q$22,$AD$2,0)),"1")</f>
        <v>1</v>
      </c>
      <c r="AE12" s="28">
        <v>750000</v>
      </c>
      <c r="AF12" s="54">
        <f t="shared" si="12"/>
        <v>1224.1500318279009</v>
      </c>
      <c r="AG12" s="27">
        <v>0.9</v>
      </c>
      <c r="AH12" s="54">
        <f t="shared" si="13"/>
        <v>1101.7350286451108</v>
      </c>
      <c r="AI12" s="47"/>
      <c r="AJ12" s="55" t="str">
        <f t="shared" si="14"/>
        <v/>
      </c>
      <c r="AK12" s="56">
        <f t="shared" si="15"/>
        <v>0</v>
      </c>
      <c r="AL12" s="56">
        <f t="shared" si="16"/>
        <v>0</v>
      </c>
      <c r="AM12" s="55">
        <f t="shared" si="17"/>
        <v>0.25</v>
      </c>
      <c r="AN12" s="57"/>
      <c r="AO12" s="55">
        <f t="shared" si="18"/>
        <v>1.2253399999999999</v>
      </c>
      <c r="AP12" s="56">
        <f t="shared" si="1"/>
        <v>112.66999999999996</v>
      </c>
      <c r="AQ12" s="56">
        <f t="shared" si="2"/>
        <v>150</v>
      </c>
      <c r="AR12" s="55">
        <f t="shared" si="19"/>
        <v>0.25</v>
      </c>
      <c r="AS12" s="58"/>
      <c r="AT12" s="59">
        <f t="shared" si="3"/>
        <v>0</v>
      </c>
      <c r="AU12" s="59">
        <f t="shared" si="4"/>
        <v>0.85299999999999998</v>
      </c>
      <c r="AV12" s="47"/>
      <c r="AW12" s="60">
        <f t="shared" si="20"/>
        <v>1</v>
      </c>
      <c r="AX12" s="60">
        <f t="shared" si="21"/>
        <v>1</v>
      </c>
      <c r="AY12" s="60">
        <f t="shared" si="22"/>
        <v>1.0521172780380521</v>
      </c>
      <c r="AZ12" s="60">
        <f t="shared" si="23"/>
        <v>0.95193434935521692</v>
      </c>
      <c r="BA12" s="60">
        <f t="shared" si="24"/>
        <v>1</v>
      </c>
      <c r="BB12" s="60">
        <f t="shared" si="25"/>
        <v>1</v>
      </c>
      <c r="BC12" s="60">
        <f t="shared" si="26"/>
        <v>1</v>
      </c>
      <c r="BD12" s="60">
        <f t="shared" si="27"/>
        <v>1</v>
      </c>
      <c r="BE12" s="60">
        <f t="shared" si="28"/>
        <v>1</v>
      </c>
      <c r="BF12" s="60">
        <f t="shared" si="29"/>
        <v>1</v>
      </c>
      <c r="BG12" s="60">
        <f t="shared" si="30"/>
        <v>1</v>
      </c>
      <c r="BH12" s="60">
        <f t="shared" si="5"/>
        <v>1</v>
      </c>
      <c r="BI12" s="60">
        <f t="shared" si="31"/>
        <v>1</v>
      </c>
      <c r="BJ12" s="61">
        <f t="shared" si="6"/>
        <v>1.0040516273932689</v>
      </c>
      <c r="BK12" s="47"/>
      <c r="BL12" s="62">
        <f t="shared" si="7"/>
        <v>1106.1988484672931</v>
      </c>
      <c r="BM12" s="62">
        <f t="shared" si="8"/>
        <v>1106.1988484672931</v>
      </c>
      <c r="BN12" s="62">
        <f t="shared" si="9"/>
        <v>0.2124027279524093</v>
      </c>
      <c r="BO12" s="62">
        <f>IF(BM12="","",VLOOKUP($BU$16,Dicionários!$S$2:$T$31,2,0))</f>
        <v>2.1</v>
      </c>
      <c r="BP12" s="62" t="str">
        <f t="shared" si="10"/>
        <v>ACEITO</v>
      </c>
      <c r="BQ12" s="47"/>
      <c r="BR12" s="117" t="s">
        <v>219</v>
      </c>
      <c r="BT12" s="84" t="s">
        <v>271</v>
      </c>
      <c r="BU12" s="96"/>
      <c r="BW12" s="94" t="s">
        <v>214</v>
      </c>
      <c r="BX12" s="89"/>
      <c r="BY12" s="40"/>
      <c r="BZ12" s="89"/>
      <c r="CA12" s="93"/>
      <c r="CB12" s="90"/>
      <c r="CC12" s="91"/>
      <c r="CE12" s="144"/>
      <c r="CF12" s="145"/>
      <c r="CG12" s="145"/>
      <c r="CH12" s="145"/>
      <c r="CI12" s="145"/>
      <c r="CJ12" s="146"/>
    </row>
    <row r="13" spans="1:88" s="63" customFormat="1" ht="28.5" customHeight="1" thickBot="1" x14ac:dyDescent="0.3">
      <c r="A13" s="116">
        <v>11</v>
      </c>
      <c r="B13" s="16" t="s">
        <v>297</v>
      </c>
      <c r="C13" s="14">
        <v>1</v>
      </c>
      <c r="D13" s="49">
        <f t="shared" si="11"/>
        <v>1</v>
      </c>
      <c r="E13" s="18"/>
      <c r="F13" s="66"/>
      <c r="G13" s="18">
        <v>426.32</v>
      </c>
      <c r="H13" s="66"/>
      <c r="I13" s="18">
        <v>8.5</v>
      </c>
      <c r="J13" s="66"/>
      <c r="K13" s="51">
        <f t="shared" si="0"/>
        <v>50.15529411764706</v>
      </c>
      <c r="L13" s="67"/>
      <c r="M13" s="17"/>
      <c r="N13" s="53" t="str">
        <f>IF(M$1="SIM",IF(M13="","1",VLOOKUP(M13,Dicionários!$A$2:$B$22,2,0)),"1")</f>
        <v>1</v>
      </c>
      <c r="O13" s="17"/>
      <c r="P13" s="53" t="str">
        <f>IF(O$1="SIM",IF(O13="","1",VLOOKUP(O13,Dicionários!$C$2:$D$22,2,0)),"1")</f>
        <v>1</v>
      </c>
      <c r="Q13" s="17"/>
      <c r="R13" s="53" t="str">
        <f>IF(Q$1="SIM",IF(Q13="","1",VLOOKUP(Q13,Dicionários!$E$2:$F$22,2,0)),"1")</f>
        <v>1</v>
      </c>
      <c r="S13" s="17"/>
      <c r="T13" s="53" t="str">
        <f>IF(S$1="SIM",IF(S13="","1",VLOOKUP(S13,Dicionários!$G$2:$H$22,2,0)),"1")</f>
        <v>1</v>
      </c>
      <c r="U13" s="17"/>
      <c r="V13" s="53" t="str">
        <f>IF(U$1="SIM",IF(U13="","1",VLOOKUP(U13,Dicionários!$I$2:$J$22,2,0)),"1")</f>
        <v>1</v>
      </c>
      <c r="W13" s="17"/>
      <c r="X13" s="53" t="str">
        <f>IF(W$1="SIM",IF(W13="","1",VLOOKUP(W13,Dicionários!$K$2:$L$22,2,0)),"1")</f>
        <v>1</v>
      </c>
      <c r="Y13" s="17"/>
      <c r="Z13" s="53" t="str">
        <f>IF(Y$1="SIM",IF(Y13="","1",VLOOKUP(Y13,Dicionários!$M$2:$N$12,2,0)),"1")</f>
        <v>1</v>
      </c>
      <c r="AA13" s="17"/>
      <c r="AB13" s="65"/>
      <c r="AC13" s="17"/>
      <c r="AD13" s="53" t="str">
        <f>IF(AC$1="SIM",IF(AC13="","1",VLOOKUP(AC13,Dicionários!$O$2:$Q$22,$AD$2,0)),"1")</f>
        <v>1</v>
      </c>
      <c r="AE13" s="28">
        <v>500000</v>
      </c>
      <c r="AF13" s="54">
        <f t="shared" si="12"/>
        <v>1172.8279226871834</v>
      </c>
      <c r="AG13" s="27">
        <v>1</v>
      </c>
      <c r="AH13" s="54">
        <f t="shared" si="13"/>
        <v>1172.8279226871834</v>
      </c>
      <c r="AI13" s="47"/>
      <c r="AJ13" s="55" t="str">
        <f t="shared" si="14"/>
        <v/>
      </c>
      <c r="AK13" s="56">
        <f t="shared" si="15"/>
        <v>0</v>
      </c>
      <c r="AL13" s="56">
        <f t="shared" si="16"/>
        <v>0</v>
      </c>
      <c r="AM13" s="55">
        <f t="shared" si="17"/>
        <v>0.25</v>
      </c>
      <c r="AN13" s="57"/>
      <c r="AO13" s="55">
        <f t="shared" si="18"/>
        <v>0.85263999999999995</v>
      </c>
      <c r="AP13" s="56">
        <f t="shared" si="1"/>
        <v>73.680000000000007</v>
      </c>
      <c r="AQ13" s="56">
        <f t="shared" si="2"/>
        <v>150</v>
      </c>
      <c r="AR13" s="55">
        <f t="shared" si="19"/>
        <v>0.25</v>
      </c>
      <c r="AS13" s="58"/>
      <c r="AT13" s="59">
        <f t="shared" si="3"/>
        <v>0</v>
      </c>
      <c r="AU13" s="59">
        <f t="shared" si="4"/>
        <v>0.81100000000000005</v>
      </c>
      <c r="AV13" s="47"/>
      <c r="AW13" s="60">
        <f t="shared" si="20"/>
        <v>1</v>
      </c>
      <c r="AX13" s="60">
        <f t="shared" si="21"/>
        <v>1</v>
      </c>
      <c r="AY13" s="60">
        <f t="shared" si="22"/>
        <v>0.96092927771463321</v>
      </c>
      <c r="AZ13" s="60">
        <f t="shared" si="23"/>
        <v>1.0012330456226881</v>
      </c>
      <c r="BA13" s="60">
        <f t="shared" si="24"/>
        <v>1</v>
      </c>
      <c r="BB13" s="60">
        <f t="shared" si="25"/>
        <v>1</v>
      </c>
      <c r="BC13" s="60">
        <f t="shared" si="26"/>
        <v>1</v>
      </c>
      <c r="BD13" s="60">
        <f t="shared" si="27"/>
        <v>1</v>
      </c>
      <c r="BE13" s="60">
        <f t="shared" si="28"/>
        <v>1</v>
      </c>
      <c r="BF13" s="60">
        <f t="shared" si="29"/>
        <v>1</v>
      </c>
      <c r="BG13" s="60">
        <f t="shared" si="30"/>
        <v>1</v>
      </c>
      <c r="BH13" s="60">
        <f t="shared" si="5"/>
        <v>1</v>
      </c>
      <c r="BI13" s="60">
        <f t="shared" si="31"/>
        <v>1</v>
      </c>
      <c r="BJ13" s="61">
        <f t="shared" si="6"/>
        <v>0.96216232333732132</v>
      </c>
      <c r="BK13" s="47"/>
      <c r="BL13" s="62">
        <f t="shared" si="7"/>
        <v>1128.4508389675848</v>
      </c>
      <c r="BM13" s="62">
        <f t="shared" si="8"/>
        <v>1128.4508389675848</v>
      </c>
      <c r="BN13" s="62">
        <f t="shared" si="9"/>
        <v>0.11002607404529276</v>
      </c>
      <c r="BO13" s="62">
        <f>IF(BM13="","",VLOOKUP($BU$16,Dicionários!$S$2:$T$31,2,0))</f>
        <v>2.1</v>
      </c>
      <c r="BP13" s="62" t="str">
        <f t="shared" si="10"/>
        <v>ACEITO</v>
      </c>
      <c r="BQ13" s="47"/>
      <c r="BR13" s="117" t="s">
        <v>219</v>
      </c>
      <c r="BT13" s="128" t="s">
        <v>193</v>
      </c>
      <c r="BU13" s="132" cm="1">
        <f t="array" ref="BU13">SUMPRODUCT(--(BM3:BM17&lt;&gt;""),--(BR3:BR17="SIM"))</f>
        <v>15</v>
      </c>
      <c r="BW13" s="158" t="s">
        <v>213</v>
      </c>
      <c r="BX13" s="159"/>
      <c r="BY13" s="159"/>
      <c r="BZ13" s="160">
        <f>$BZ$3*BZ6</f>
        <v>576182.73133665638</v>
      </c>
      <c r="CA13" s="160"/>
      <c r="CB13" s="90"/>
      <c r="CC13" s="91"/>
      <c r="CE13" s="94" t="s">
        <v>216</v>
      </c>
      <c r="CF13" s="100"/>
      <c r="CG13" s="100"/>
      <c r="CH13" s="100"/>
      <c r="CI13" s="100"/>
      <c r="CJ13" s="101"/>
    </row>
    <row r="14" spans="1:88" s="63" customFormat="1" ht="28.5" customHeight="1" thickBot="1" x14ac:dyDescent="0.3">
      <c r="A14" s="118">
        <v>12</v>
      </c>
      <c r="B14" s="16" t="s">
        <v>298</v>
      </c>
      <c r="C14" s="14">
        <v>1</v>
      </c>
      <c r="D14" s="49">
        <f t="shared" si="11"/>
        <v>1</v>
      </c>
      <c r="E14" s="18"/>
      <c r="F14" s="66"/>
      <c r="G14" s="18">
        <v>426</v>
      </c>
      <c r="H14" s="66"/>
      <c r="I14" s="18">
        <v>8.5</v>
      </c>
      <c r="J14" s="66"/>
      <c r="K14" s="51">
        <f t="shared" si="0"/>
        <v>50.117647058823529</v>
      </c>
      <c r="L14" s="67"/>
      <c r="M14" s="17"/>
      <c r="N14" s="53" t="str">
        <f>IF(M$1="SIM",IF(M14="","1",VLOOKUP(M14,Dicionários!$A$2:$B$22,2,0)),"1")</f>
        <v>1</v>
      </c>
      <c r="O14" s="17"/>
      <c r="P14" s="53" t="str">
        <f>IF(O$1="SIM",IF(O14="","1",VLOOKUP(O14,Dicionários!$C$2:$D$22,2,0)),"1")</f>
        <v>1</v>
      </c>
      <c r="Q14" s="17"/>
      <c r="R14" s="53" t="str">
        <f>IF(Q$1="SIM",IF(Q14="","1",VLOOKUP(Q14,Dicionários!$E$2:$F$22,2,0)),"1")</f>
        <v>1</v>
      </c>
      <c r="S14" s="17"/>
      <c r="T14" s="53" t="str">
        <f>IF(S$1="SIM",IF(S14="","1",VLOOKUP(S14,Dicionários!$G$2:$H$22,2,0)),"1")</f>
        <v>1</v>
      </c>
      <c r="U14" s="17"/>
      <c r="V14" s="53" t="str">
        <f>IF(U$1="SIM",IF(U14="","1",VLOOKUP(U14,Dicionários!$I$2:$J$22,2,0)),"1")</f>
        <v>1</v>
      </c>
      <c r="W14" s="17"/>
      <c r="X14" s="53" t="str">
        <f>IF(W$1="SIM",IF(W14="","1",VLOOKUP(W14,Dicionários!$K$2:$L$22,2,0)),"1")</f>
        <v>1</v>
      </c>
      <c r="Y14" s="17"/>
      <c r="Z14" s="53" t="str">
        <f>IF(Y$1="SIM",IF(Y14="","1",VLOOKUP(Y14,Dicionários!$M$2:$N$12,2,0)),"1")</f>
        <v>1</v>
      </c>
      <c r="AA14" s="17"/>
      <c r="AB14" s="65"/>
      <c r="AC14" s="17"/>
      <c r="AD14" s="53" t="str">
        <f>IF(AC$1="SIM",IF(AC14="","1",VLOOKUP(AC14,Dicionários!$O$2:$Q$22,$AD$2,0)),"1")</f>
        <v>1</v>
      </c>
      <c r="AE14" s="28">
        <v>730000</v>
      </c>
      <c r="AF14" s="54">
        <f t="shared" si="12"/>
        <v>1713.6150234741783</v>
      </c>
      <c r="AG14" s="27">
        <v>0.9</v>
      </c>
      <c r="AH14" s="54">
        <f t="shared" si="13"/>
        <v>1542.2535211267605</v>
      </c>
      <c r="AI14" s="47"/>
      <c r="AJ14" s="55" t="str">
        <f t="shared" si="14"/>
        <v/>
      </c>
      <c r="AK14" s="56">
        <f t="shared" si="15"/>
        <v>0</v>
      </c>
      <c r="AL14" s="56">
        <f t="shared" si="16"/>
        <v>0</v>
      </c>
      <c r="AM14" s="55">
        <f t="shared" si="17"/>
        <v>0.25</v>
      </c>
      <c r="AN14" s="57"/>
      <c r="AO14" s="55">
        <f t="shared" si="18"/>
        <v>0.85199999999999998</v>
      </c>
      <c r="AP14" s="56">
        <f t="shared" si="1"/>
        <v>74</v>
      </c>
      <c r="AQ14" s="56">
        <f t="shared" si="2"/>
        <v>150</v>
      </c>
      <c r="AR14" s="55">
        <f t="shared" si="19"/>
        <v>0.25</v>
      </c>
      <c r="AS14" s="58"/>
      <c r="AT14" s="59">
        <f t="shared" si="3"/>
        <v>0</v>
      </c>
      <c r="AU14" s="59">
        <f t="shared" si="4"/>
        <v>0.81100000000000005</v>
      </c>
      <c r="AV14" s="47"/>
      <c r="AW14" s="60">
        <f t="shared" si="20"/>
        <v>1</v>
      </c>
      <c r="AX14" s="60">
        <f t="shared" si="21"/>
        <v>1</v>
      </c>
      <c r="AY14" s="60">
        <f t="shared" si="22"/>
        <v>0.96074890618576614</v>
      </c>
      <c r="AZ14" s="60">
        <f t="shared" si="23"/>
        <v>1.0012330456226881</v>
      </c>
      <c r="BA14" s="60">
        <f t="shared" si="24"/>
        <v>1</v>
      </c>
      <c r="BB14" s="60">
        <f t="shared" si="25"/>
        <v>1</v>
      </c>
      <c r="BC14" s="60">
        <f t="shared" si="26"/>
        <v>1</v>
      </c>
      <c r="BD14" s="60">
        <f t="shared" si="27"/>
        <v>1</v>
      </c>
      <c r="BE14" s="60">
        <f t="shared" si="28"/>
        <v>1</v>
      </c>
      <c r="BF14" s="60">
        <f t="shared" si="29"/>
        <v>1</v>
      </c>
      <c r="BG14" s="60">
        <f t="shared" si="30"/>
        <v>1</v>
      </c>
      <c r="BH14" s="60">
        <f t="shared" si="5"/>
        <v>1</v>
      </c>
      <c r="BI14" s="60">
        <f t="shared" si="31"/>
        <v>1</v>
      </c>
      <c r="BJ14" s="61">
        <f t="shared" si="6"/>
        <v>0.96198195180845425</v>
      </c>
      <c r="BK14" s="47"/>
      <c r="BL14" s="62">
        <f t="shared" si="7"/>
        <v>1483.6200524369822</v>
      </c>
      <c r="BM14" s="62">
        <f t="shared" si="8"/>
        <v>1483.6200524369822</v>
      </c>
      <c r="BN14" s="62">
        <f t="shared" si="9"/>
        <v>1.5240315912832418</v>
      </c>
      <c r="BO14" s="62">
        <f>IF(BM14="","",VLOOKUP($BU$16,Dicionários!$S$2:$T$31,2,0))</f>
        <v>2.1</v>
      </c>
      <c r="BP14" s="62" t="str">
        <f t="shared" si="10"/>
        <v>ACEITO</v>
      </c>
      <c r="BQ14" s="47"/>
      <c r="BR14" s="117" t="s">
        <v>219</v>
      </c>
      <c r="BT14" s="128" t="s">
        <v>194</v>
      </c>
      <c r="BU14" s="133">
        <f>AVERAGEIF($BR$3:$BR$17,"SIM",$BM$3:$BM$17)</f>
        <v>1152.3654626733128</v>
      </c>
      <c r="BW14" s="158" t="s">
        <v>208</v>
      </c>
      <c r="BX14" s="159"/>
      <c r="BY14" s="159"/>
      <c r="BZ14" s="160">
        <f>$BZ$3*BZ7</f>
        <v>489755.32163615793</v>
      </c>
      <c r="CA14" s="160"/>
      <c r="CB14" s="161">
        <f>1-(BZ14/$BZ$13)</f>
        <v>0.15000000000000002</v>
      </c>
      <c r="CC14" s="162"/>
      <c r="CE14" s="147" t="s">
        <v>220</v>
      </c>
      <c r="CF14" s="148"/>
      <c r="CG14" s="148"/>
      <c r="CH14" s="148"/>
      <c r="CI14" s="148"/>
      <c r="CJ14" s="149"/>
    </row>
    <row r="15" spans="1:88" s="63" customFormat="1" ht="28.5" customHeight="1" thickBot="1" x14ac:dyDescent="0.3">
      <c r="A15" s="116">
        <v>13</v>
      </c>
      <c r="B15" s="16" t="s">
        <v>299</v>
      </c>
      <c r="C15" s="14">
        <v>1</v>
      </c>
      <c r="D15" s="49">
        <f t="shared" si="11"/>
        <v>1</v>
      </c>
      <c r="E15" s="18"/>
      <c r="F15" s="66"/>
      <c r="G15" s="18">
        <v>478</v>
      </c>
      <c r="H15" s="66"/>
      <c r="I15" s="18">
        <v>12</v>
      </c>
      <c r="J15" s="66"/>
      <c r="K15" s="51">
        <f t="shared" si="0"/>
        <v>39.833333333333336</v>
      </c>
      <c r="L15" s="67"/>
      <c r="M15" s="17"/>
      <c r="N15" s="53" t="str">
        <f>IF(M$1="SIM",IF(M15="","1",VLOOKUP(M15,Dicionários!$A$2:$B$22,2,0)),"1")</f>
        <v>1</v>
      </c>
      <c r="O15" s="17"/>
      <c r="P15" s="53" t="str">
        <f>IF(O$1="SIM",IF(O15="","1",VLOOKUP(O15,Dicionários!$C$2:$D$22,2,0)),"1")</f>
        <v>1</v>
      </c>
      <c r="Q15" s="17"/>
      <c r="R15" s="53" t="str">
        <f>IF(Q$1="SIM",IF(Q15="","1",VLOOKUP(Q15,Dicionários!$E$2:$F$22,2,0)),"1")</f>
        <v>1</v>
      </c>
      <c r="S15" s="17"/>
      <c r="T15" s="53" t="str">
        <f>IF(S$1="SIM",IF(S15="","1",VLOOKUP(S15,Dicionários!$G$2:$H$22,2,0)),"1")</f>
        <v>1</v>
      </c>
      <c r="U15" s="17"/>
      <c r="V15" s="53" t="str">
        <f>IF(U$1="SIM",IF(U15="","1",VLOOKUP(U15,Dicionários!$I$2:$J$22,2,0)),"1")</f>
        <v>1</v>
      </c>
      <c r="W15" s="17"/>
      <c r="X15" s="53" t="str">
        <f>IF(W$1="SIM",IF(W15="","1",VLOOKUP(W15,Dicionários!$K$2:$L$22,2,0)),"1")</f>
        <v>1</v>
      </c>
      <c r="Y15" s="17"/>
      <c r="Z15" s="53" t="str">
        <f>IF(Y$1="SIM",IF(Y15="","1",VLOOKUP(Y15,Dicionários!$M$2:$N$12,2,0)),"1")</f>
        <v>1</v>
      </c>
      <c r="AA15" s="17"/>
      <c r="AB15" s="65"/>
      <c r="AC15" s="17"/>
      <c r="AD15" s="53" t="str">
        <f>IF(AC$1="SIM",IF(AC15="","1",VLOOKUP(AC15,Dicionários!$O$2:$Q$22,$AD$2,0)),"1")</f>
        <v>1</v>
      </c>
      <c r="AE15" s="28">
        <v>730000</v>
      </c>
      <c r="AF15" s="54">
        <f t="shared" si="12"/>
        <v>1527.1966527196653</v>
      </c>
      <c r="AG15" s="27">
        <v>0.9</v>
      </c>
      <c r="AH15" s="54">
        <f t="shared" si="13"/>
        <v>1374.4769874476988</v>
      </c>
      <c r="AI15" s="47"/>
      <c r="AJ15" s="55" t="str">
        <f t="shared" si="14"/>
        <v/>
      </c>
      <c r="AK15" s="56">
        <f t="shared" si="15"/>
        <v>0</v>
      </c>
      <c r="AL15" s="56">
        <f t="shared" si="16"/>
        <v>0</v>
      </c>
      <c r="AM15" s="55">
        <f t="shared" si="17"/>
        <v>0.25</v>
      </c>
      <c r="AN15" s="57"/>
      <c r="AO15" s="55">
        <f t="shared" si="18"/>
        <v>0.95599999999999996</v>
      </c>
      <c r="AP15" s="56">
        <f t="shared" si="1"/>
        <v>22</v>
      </c>
      <c r="AQ15" s="56">
        <f t="shared" si="2"/>
        <v>150</v>
      </c>
      <c r="AR15" s="55">
        <f t="shared" si="19"/>
        <v>0.25</v>
      </c>
      <c r="AS15" s="58"/>
      <c r="AT15" s="59">
        <f t="shared" si="3"/>
        <v>0</v>
      </c>
      <c r="AU15" s="59">
        <f t="shared" si="4"/>
        <v>0.91</v>
      </c>
      <c r="AV15" s="47"/>
      <c r="AW15" s="60">
        <f t="shared" si="20"/>
        <v>1</v>
      </c>
      <c r="AX15" s="60">
        <f t="shared" si="21"/>
        <v>1</v>
      </c>
      <c r="AY15" s="60">
        <f t="shared" si="22"/>
        <v>0.98881369576195965</v>
      </c>
      <c r="AZ15" s="60">
        <f t="shared" si="23"/>
        <v>0.89230769230769236</v>
      </c>
      <c r="BA15" s="60">
        <f t="shared" si="24"/>
        <v>1</v>
      </c>
      <c r="BB15" s="60">
        <f t="shared" si="25"/>
        <v>1</v>
      </c>
      <c r="BC15" s="60">
        <f t="shared" si="26"/>
        <v>1</v>
      </c>
      <c r="BD15" s="60">
        <f t="shared" si="27"/>
        <v>1</v>
      </c>
      <c r="BE15" s="60">
        <f t="shared" si="28"/>
        <v>1</v>
      </c>
      <c r="BF15" s="60">
        <f t="shared" si="29"/>
        <v>1</v>
      </c>
      <c r="BG15" s="60">
        <f t="shared" si="30"/>
        <v>1</v>
      </c>
      <c r="BH15" s="60">
        <f t="shared" si="5"/>
        <v>1</v>
      </c>
      <c r="BI15" s="60">
        <f t="shared" si="31"/>
        <v>1</v>
      </c>
      <c r="BJ15" s="61">
        <f t="shared" si="6"/>
        <v>0.88112138806965201</v>
      </c>
      <c r="BK15" s="47"/>
      <c r="BL15" s="62">
        <f t="shared" si="7"/>
        <v>1211.0810710497101</v>
      </c>
      <c r="BM15" s="62">
        <f t="shared" si="8"/>
        <v>1211.0810710497101</v>
      </c>
      <c r="BN15" s="62">
        <f t="shared" si="9"/>
        <v>0.27013796889844244</v>
      </c>
      <c r="BO15" s="62">
        <f>IF(BM15="","",VLOOKUP($BU$16,Dicionários!$S$2:$T$31,2,0))</f>
        <v>2.1</v>
      </c>
      <c r="BP15" s="62" t="str">
        <f t="shared" si="10"/>
        <v>ACEITO</v>
      </c>
      <c r="BQ15" s="47"/>
      <c r="BR15" s="117" t="s">
        <v>219</v>
      </c>
      <c r="BT15" s="128" t="s">
        <v>191</v>
      </c>
      <c r="BU15" s="134" cm="1">
        <f t="array" ref="BU15">_xlfn.STDEV.S(IF($BR$3:$BR$17="SIM",$BM$3:$BM$17))</f>
        <v>217.35414912544658</v>
      </c>
      <c r="BW15" s="158" t="s">
        <v>209</v>
      </c>
      <c r="BX15" s="159"/>
      <c r="BY15" s="159"/>
      <c r="BZ15" s="160">
        <f>$BZ$3*BZ8</f>
        <v>662610.14103715483</v>
      </c>
      <c r="CA15" s="160"/>
      <c r="CB15" s="161">
        <f>(BZ15/$BZ$13)-1</f>
        <v>0.14999999999999991</v>
      </c>
      <c r="CC15" s="162"/>
      <c r="CE15" s="147"/>
      <c r="CF15" s="148"/>
      <c r="CG15" s="148"/>
      <c r="CH15" s="148"/>
      <c r="CI15" s="148"/>
      <c r="CJ15" s="149"/>
    </row>
    <row r="16" spans="1:88" s="63" customFormat="1" ht="28.5" customHeight="1" thickBot="1" x14ac:dyDescent="0.3">
      <c r="A16" s="118">
        <v>14</v>
      </c>
      <c r="B16" s="16" t="s">
        <v>300</v>
      </c>
      <c r="C16" s="14">
        <v>1</v>
      </c>
      <c r="D16" s="49">
        <f t="shared" si="11"/>
        <v>1</v>
      </c>
      <c r="E16" s="18"/>
      <c r="F16" s="66"/>
      <c r="G16" s="18">
        <v>565</v>
      </c>
      <c r="H16" s="66"/>
      <c r="I16" s="18">
        <v>12</v>
      </c>
      <c r="J16" s="66"/>
      <c r="K16" s="51">
        <f t="shared" si="0"/>
        <v>47.083333333333336</v>
      </c>
      <c r="L16" s="67"/>
      <c r="M16" s="17"/>
      <c r="N16" s="53" t="str">
        <f>IF(M$1="SIM",IF(M16="","1",VLOOKUP(M16,Dicionários!$A$2:$B$22,2,0)),"1")</f>
        <v>1</v>
      </c>
      <c r="O16" s="17"/>
      <c r="P16" s="53" t="str">
        <f>IF(O$1="SIM",IF(O16="","1",VLOOKUP(O16,Dicionários!$C$2:$D$22,2,0)),"1")</f>
        <v>1</v>
      </c>
      <c r="Q16" s="17"/>
      <c r="R16" s="53" t="str">
        <f>IF(Q$1="SIM",IF(Q16="","1",VLOOKUP(Q16,Dicionários!$E$2:$F$22,2,0)),"1")</f>
        <v>1</v>
      </c>
      <c r="S16" s="17"/>
      <c r="T16" s="53" t="str">
        <f>IF(S$1="SIM",IF(S16="","1",VLOOKUP(S16,Dicionários!$G$2:$H$22,2,0)),"1")</f>
        <v>1</v>
      </c>
      <c r="U16" s="17"/>
      <c r="V16" s="53" t="str">
        <f>IF(U$1="SIM",IF(U16="","1",VLOOKUP(U16,Dicionários!$I$2:$J$22,2,0)),"1")</f>
        <v>1</v>
      </c>
      <c r="W16" s="17"/>
      <c r="X16" s="53" t="str">
        <f>IF(W$1="SIM",IF(W16="","1",VLOOKUP(W16,Dicionários!$K$2:$L$22,2,0)),"1")</f>
        <v>1</v>
      </c>
      <c r="Y16" s="17"/>
      <c r="Z16" s="53" t="str">
        <f>IF(Y$1="SIM",IF(Y16="","1",VLOOKUP(Y16,Dicionários!$M$2:$N$12,2,0)),"1")</f>
        <v>1</v>
      </c>
      <c r="AA16" s="17"/>
      <c r="AB16" s="65"/>
      <c r="AC16" s="17"/>
      <c r="AD16" s="53" t="str">
        <f>IF(AC$1="SIM",IF(AC16="","1",VLOOKUP(AC16,Dicionários!$O$2:$Q$22,$AD$2,0)),"1")</f>
        <v>1</v>
      </c>
      <c r="AE16" s="28">
        <v>705000</v>
      </c>
      <c r="AF16" s="54">
        <f t="shared" si="12"/>
        <v>1247.787610619469</v>
      </c>
      <c r="AG16" s="27">
        <v>0.9</v>
      </c>
      <c r="AH16" s="54">
        <f t="shared" si="13"/>
        <v>1123.0088495575221</v>
      </c>
      <c r="AI16" s="47"/>
      <c r="AJ16" s="55" t="str">
        <f t="shared" si="14"/>
        <v/>
      </c>
      <c r="AK16" s="56">
        <f t="shared" si="15"/>
        <v>0</v>
      </c>
      <c r="AL16" s="56">
        <f t="shared" si="16"/>
        <v>0</v>
      </c>
      <c r="AM16" s="55">
        <f t="shared" si="17"/>
        <v>0.25</v>
      </c>
      <c r="AN16" s="57"/>
      <c r="AO16" s="55">
        <f t="shared" si="18"/>
        <v>1.1299999999999999</v>
      </c>
      <c r="AP16" s="56">
        <f t="shared" si="1"/>
        <v>65</v>
      </c>
      <c r="AQ16" s="56">
        <f t="shared" si="2"/>
        <v>150</v>
      </c>
      <c r="AR16" s="55">
        <f t="shared" si="19"/>
        <v>0.25</v>
      </c>
      <c r="AS16" s="58"/>
      <c r="AT16" s="59">
        <f t="shared" si="3"/>
        <v>0</v>
      </c>
      <c r="AU16" s="59">
        <f t="shared" si="4"/>
        <v>0.83699999999999997</v>
      </c>
      <c r="AV16" s="47"/>
      <c r="AW16" s="60">
        <f t="shared" si="20"/>
        <v>1</v>
      </c>
      <c r="AX16" s="60">
        <f t="shared" si="21"/>
        <v>1</v>
      </c>
      <c r="AY16" s="60">
        <f t="shared" si="22"/>
        <v>1.0310259847712204</v>
      </c>
      <c r="AZ16" s="60">
        <f t="shared" si="23"/>
        <v>0.9701314217443251</v>
      </c>
      <c r="BA16" s="60">
        <f t="shared" si="24"/>
        <v>1</v>
      </c>
      <c r="BB16" s="60">
        <f t="shared" si="25"/>
        <v>1</v>
      </c>
      <c r="BC16" s="60">
        <f t="shared" si="26"/>
        <v>1</v>
      </c>
      <c r="BD16" s="60">
        <f t="shared" si="27"/>
        <v>1</v>
      </c>
      <c r="BE16" s="60">
        <f t="shared" si="28"/>
        <v>1</v>
      </c>
      <c r="BF16" s="60">
        <f t="shared" si="29"/>
        <v>1</v>
      </c>
      <c r="BG16" s="60">
        <f t="shared" si="30"/>
        <v>1</v>
      </c>
      <c r="BH16" s="60">
        <f t="shared" si="5"/>
        <v>1</v>
      </c>
      <c r="BI16" s="60">
        <f t="shared" si="31"/>
        <v>1</v>
      </c>
      <c r="BJ16" s="61">
        <f t="shared" si="6"/>
        <v>1.0011574065155455</v>
      </c>
      <c r="BK16" s="47"/>
      <c r="BL16" s="62">
        <f t="shared" si="7"/>
        <v>1124.3086273170152</v>
      </c>
      <c r="BM16" s="62">
        <f t="shared" si="8"/>
        <v>1124.3086273170152</v>
      </c>
      <c r="BN16" s="62">
        <f t="shared" si="9"/>
        <v>0.12908350482007369</v>
      </c>
      <c r="BO16" s="62">
        <f>IF(BM16="","",VLOOKUP($BU$16,Dicionários!$S$2:$T$31,2,0))</f>
        <v>2.1</v>
      </c>
      <c r="BP16" s="62" t="str">
        <f t="shared" si="10"/>
        <v>ACEITO</v>
      </c>
      <c r="BQ16" s="47"/>
      <c r="BR16" s="117" t="s">
        <v>219</v>
      </c>
      <c r="BT16" s="128" t="s">
        <v>199</v>
      </c>
      <c r="BU16" s="132">
        <f>BU13-1</f>
        <v>14</v>
      </c>
      <c r="BW16" s="158" t="s">
        <v>210</v>
      </c>
      <c r="BX16" s="159"/>
      <c r="BY16" s="159"/>
      <c r="BZ16" s="160">
        <f>$BZ$3*BZ9</f>
        <v>537116.9778009241</v>
      </c>
      <c r="CA16" s="160"/>
      <c r="CB16" s="161">
        <f>1-(BZ16/$BZ$13)</f>
        <v>6.78009794654999E-2</v>
      </c>
      <c r="CC16" s="162"/>
      <c r="CE16" s="147"/>
      <c r="CF16" s="148"/>
      <c r="CG16" s="148"/>
      <c r="CH16" s="148"/>
      <c r="CI16" s="148"/>
      <c r="CJ16" s="149"/>
    </row>
    <row r="17" spans="1:88" s="63" customFormat="1" ht="28.5" customHeight="1" thickBot="1" x14ac:dyDescent="0.3">
      <c r="A17" s="119">
        <v>15</v>
      </c>
      <c r="B17" s="19" t="s">
        <v>301</v>
      </c>
      <c r="C17" s="83">
        <v>1</v>
      </c>
      <c r="D17" s="49">
        <f t="shared" si="11"/>
        <v>1</v>
      </c>
      <c r="E17" s="21"/>
      <c r="F17" s="69"/>
      <c r="G17" s="21">
        <v>684</v>
      </c>
      <c r="H17" s="69"/>
      <c r="I17" s="21">
        <v>18</v>
      </c>
      <c r="J17" s="69"/>
      <c r="K17" s="70">
        <f t="shared" si="0"/>
        <v>38</v>
      </c>
      <c r="L17" s="71"/>
      <c r="M17" s="20"/>
      <c r="N17" s="72" t="str">
        <f>IF(M$1="SIM",IF(M17="","1",VLOOKUP(M17,Dicionários!$A$2:$B$22,2,0)),"1")</f>
        <v>1</v>
      </c>
      <c r="O17" s="20"/>
      <c r="P17" s="72" t="str">
        <f>IF(O$1="SIM",IF(O17="","1",VLOOKUP(O17,Dicionários!$C$2:$D$22,2,0)),"1")</f>
        <v>1</v>
      </c>
      <c r="Q17" s="20"/>
      <c r="R17" s="72" t="str">
        <f>IF(Q$1="SIM",IF(Q17="","1",VLOOKUP(Q17,Dicionários!$E$2:$F$22,2,0)),"1")</f>
        <v>1</v>
      </c>
      <c r="S17" s="20"/>
      <c r="T17" s="72" t="str">
        <f>IF(S$1="SIM",IF(S17="","1",VLOOKUP(S17,Dicionários!$G$2:$H$22,2,0)),"1")</f>
        <v>1</v>
      </c>
      <c r="U17" s="20"/>
      <c r="V17" s="72" t="str">
        <f>IF(U$1="SIM",IF(U17="","1",VLOOKUP(U17,Dicionários!$I$2:$J$22,2,0)),"1")</f>
        <v>1</v>
      </c>
      <c r="W17" s="20"/>
      <c r="X17" s="72" t="str">
        <f>IF(W$1="SIM",IF(W17="","1",VLOOKUP(W17,Dicionários!$K$2:$L$22,2,0)),"1")</f>
        <v>1</v>
      </c>
      <c r="Y17" s="20"/>
      <c r="Z17" s="72" t="str">
        <f>IF(Y$1="SIM",IF(Y17="","1",VLOOKUP(Y17,Dicionários!$M$2:$N$12,2,0)),"1")</f>
        <v>1</v>
      </c>
      <c r="AA17" s="20"/>
      <c r="AB17" s="68"/>
      <c r="AC17" s="20"/>
      <c r="AD17" s="53" t="str">
        <f>IF(AC$1="SIM",IF(AC17="","1",VLOOKUP(AC17,Dicionários!$O$2:$Q$22,$AD$2,0)),"1")</f>
        <v>1</v>
      </c>
      <c r="AE17" s="28">
        <v>750000</v>
      </c>
      <c r="AF17" s="54">
        <f t="shared" si="12"/>
        <v>1096.4912280701753</v>
      </c>
      <c r="AG17" s="27">
        <v>1</v>
      </c>
      <c r="AH17" s="54">
        <f t="shared" si="13"/>
        <v>1096.4912280701753</v>
      </c>
      <c r="AI17" s="47"/>
      <c r="AJ17" s="55" t="str">
        <f t="shared" si="14"/>
        <v/>
      </c>
      <c r="AK17" s="56">
        <f t="shared" si="15"/>
        <v>0</v>
      </c>
      <c r="AL17" s="56">
        <f t="shared" si="16"/>
        <v>0</v>
      </c>
      <c r="AM17" s="55">
        <f t="shared" si="17"/>
        <v>0.25</v>
      </c>
      <c r="AN17" s="57"/>
      <c r="AO17" s="55">
        <f t="shared" si="18"/>
        <v>1.3680000000000001</v>
      </c>
      <c r="AP17" s="56">
        <f t="shared" si="1"/>
        <v>184</v>
      </c>
      <c r="AQ17" s="56">
        <f t="shared" si="2"/>
        <v>150</v>
      </c>
      <c r="AR17" s="55">
        <f t="shared" si="19"/>
        <v>0.125</v>
      </c>
      <c r="AS17" s="58"/>
      <c r="AT17" s="59">
        <f t="shared" si="3"/>
        <v>0</v>
      </c>
      <c r="AU17" s="59">
        <f t="shared" si="4"/>
        <v>0.93200000000000005</v>
      </c>
      <c r="AV17" s="47"/>
      <c r="AW17" s="60">
        <f t="shared" si="20"/>
        <v>1</v>
      </c>
      <c r="AX17" s="60">
        <f t="shared" si="21"/>
        <v>1</v>
      </c>
      <c r="AY17" s="60">
        <f t="shared" si="22"/>
        <v>1.0399459362219194</v>
      </c>
      <c r="AZ17" s="60">
        <f t="shared" si="23"/>
        <v>0.87124463519313311</v>
      </c>
      <c r="BA17" s="60">
        <f t="shared" si="24"/>
        <v>1</v>
      </c>
      <c r="BB17" s="60">
        <f t="shared" si="25"/>
        <v>1</v>
      </c>
      <c r="BC17" s="60">
        <f t="shared" si="26"/>
        <v>1</v>
      </c>
      <c r="BD17" s="60">
        <f t="shared" si="27"/>
        <v>1</v>
      </c>
      <c r="BE17" s="60">
        <f t="shared" si="28"/>
        <v>1</v>
      </c>
      <c r="BF17" s="60">
        <f t="shared" si="29"/>
        <v>1</v>
      </c>
      <c r="BG17" s="60">
        <f t="shared" si="30"/>
        <v>1</v>
      </c>
      <c r="BH17" s="60">
        <f t="shared" si="5"/>
        <v>1</v>
      </c>
      <c r="BI17" s="60">
        <f t="shared" si="31"/>
        <v>1</v>
      </c>
      <c r="BJ17" s="61">
        <f t="shared" si="6"/>
        <v>0.91119057141505255</v>
      </c>
      <c r="BK17" s="47"/>
      <c r="BL17" s="62">
        <f>IF(AH17="","",BJ17*AH17)</f>
        <v>999.11246865685575</v>
      </c>
      <c r="BM17" s="62">
        <f>IF(BL17="","",IF(BR17="Sim",AH17*BJ17,""))</f>
        <v>999.11246865685575</v>
      </c>
      <c r="BN17" s="62">
        <f t="shared" si="9"/>
        <v>0.7050842812667294</v>
      </c>
      <c r="BO17" s="62">
        <f>IF(BM17="","",VLOOKUP($BU$16,Dicionários!$S$2:$T$31,2,0))</f>
        <v>2.1</v>
      </c>
      <c r="BP17" s="62" t="str">
        <f t="shared" si="10"/>
        <v>ACEITO</v>
      </c>
      <c r="BQ17" s="47"/>
      <c r="BR17" s="117" t="s">
        <v>219</v>
      </c>
      <c r="BT17" s="128" t="s">
        <v>206</v>
      </c>
      <c r="BU17" s="133">
        <f>BU14*1.15</f>
        <v>1325.2202820743096</v>
      </c>
      <c r="BW17" s="153" t="s">
        <v>211</v>
      </c>
      <c r="BX17" s="154"/>
      <c r="BY17" s="154"/>
      <c r="BZ17" s="155">
        <f>$BZ$3*BZ10</f>
        <v>615248.48487238865</v>
      </c>
      <c r="CA17" s="155"/>
      <c r="CB17" s="156">
        <f>(BZ17/$BZ$13)-1</f>
        <v>6.78009794654999E-2</v>
      </c>
      <c r="CC17" s="157"/>
      <c r="CE17" s="147" t="s">
        <v>221</v>
      </c>
      <c r="CF17" s="148"/>
      <c r="CG17" s="148"/>
      <c r="CH17" s="148"/>
      <c r="CI17" s="148"/>
      <c r="CJ17" s="149"/>
    </row>
    <row r="18" spans="1:88" s="63" customFormat="1" ht="28.5" customHeight="1" thickBot="1" x14ac:dyDescent="0.3">
      <c r="A18" s="25" t="s">
        <v>158</v>
      </c>
      <c r="B18" s="22"/>
      <c r="C18" s="24">
        <v>1</v>
      </c>
      <c r="D18" s="76">
        <f t="shared" si="11"/>
        <v>1</v>
      </c>
      <c r="E18" s="23"/>
      <c r="F18" s="73"/>
      <c r="G18" s="23">
        <v>500</v>
      </c>
      <c r="H18" s="73"/>
      <c r="I18" s="23">
        <v>10</v>
      </c>
      <c r="J18" s="73"/>
      <c r="K18" s="74">
        <f t="shared" si="0"/>
        <v>50</v>
      </c>
      <c r="L18" s="75"/>
      <c r="M18" s="24"/>
      <c r="N18" s="76" t="str">
        <f>IF(M$1="SIM",IF(M18="","1",VLOOKUP(M18,Dicionários!$A$2:$B$22,2,0)),"1")</f>
        <v>1</v>
      </c>
      <c r="O18" s="24"/>
      <c r="P18" s="76" t="str">
        <f>IF(O$1="SIM",IF(O18="","1",VLOOKUP(O18,Dicionários!$C$2:$D$22,2,0)),"1")</f>
        <v>1</v>
      </c>
      <c r="Q18" s="24"/>
      <c r="R18" s="76" t="str">
        <f>IF(Q$1="SIM",IF(Q18="","1",VLOOKUP(Q18,Dicionários!$E$2:$F$22,2,0)),"1")</f>
        <v>1</v>
      </c>
      <c r="S18" s="24"/>
      <c r="T18" s="76" t="str">
        <f>IF(S$1="SIM",IF(S18="","1",VLOOKUP(S18,Dicionários!$G$2:$H$22,2,0)),"1")</f>
        <v>1</v>
      </c>
      <c r="U18" s="24"/>
      <c r="V18" s="76" t="str">
        <f>IF(U$1="SIM",IF(U18="","1",VLOOKUP(U18,Dicionários!$I$2:$J$22,2,0)),"1")</f>
        <v>1</v>
      </c>
      <c r="W18" s="24"/>
      <c r="X18" s="76" t="str">
        <f>IF(W$1="SIM",IF(W18="","1",VLOOKUP(W18,Dicionários!$K$2:$L$22,2,0)),"1")</f>
        <v>1</v>
      </c>
      <c r="Y18" s="24"/>
      <c r="Z18" s="76" t="str">
        <f>IF(Y$1="SIM",IF(Y18="","1",VLOOKUP(Y18,Dicionários!$M$2:$N$12,2,0)),"1")</f>
        <v>1</v>
      </c>
      <c r="AA18" s="24"/>
      <c r="AB18" s="77"/>
      <c r="AC18" s="25"/>
      <c r="AD18" s="76" t="str">
        <f>IF(AC$1="SIM",IF(AC18="","1",VLOOKUP(AC18,Dicionários!$O$2:$Q$22,$AD$2,0)),"1")</f>
        <v>1</v>
      </c>
      <c r="AE18" s="120"/>
      <c r="AF18" s="120"/>
      <c r="AG18" s="120"/>
      <c r="AH18" s="121"/>
      <c r="AI18" s="120"/>
      <c r="AJ18" s="122"/>
      <c r="AK18" s="123"/>
      <c r="AL18" s="123"/>
      <c r="AM18" s="122"/>
      <c r="AN18" s="123"/>
      <c r="AO18" s="122"/>
      <c r="AP18" s="123"/>
      <c r="AQ18" s="123"/>
      <c r="AR18" s="122"/>
      <c r="AS18" s="124"/>
      <c r="AT18" s="125">
        <f t="shared" si="3"/>
        <v>0</v>
      </c>
      <c r="AU18" s="125">
        <f t="shared" si="4"/>
        <v>0.81200000000000006</v>
      </c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6">
        <f>AVERAGE(BL3:BL17)</f>
        <v>1152.3654626733128</v>
      </c>
      <c r="BM18" s="126">
        <f>AVERAGE(BM3:BM17)</f>
        <v>1152.3654626733128</v>
      </c>
      <c r="BN18" s="135"/>
      <c r="BO18" s="135"/>
      <c r="BP18" s="135"/>
      <c r="BQ18" s="120"/>
      <c r="BR18" s="127"/>
      <c r="BT18" s="128" t="s">
        <v>207</v>
      </c>
      <c r="BU18" s="133">
        <f>BU14*0.85</f>
        <v>979.51064327231586</v>
      </c>
      <c r="CE18" s="147"/>
      <c r="CF18" s="148"/>
      <c r="CG18" s="148"/>
      <c r="CH18" s="148"/>
      <c r="CI18" s="148"/>
      <c r="CJ18" s="149"/>
    </row>
    <row r="19" spans="1:88" ht="28.5" customHeight="1" x14ac:dyDescent="0.25">
      <c r="A19" s="103"/>
      <c r="AE19" s="104"/>
      <c r="AF19" s="104"/>
      <c r="AG19" s="104"/>
      <c r="AH19" s="104"/>
      <c r="AI19" s="104"/>
      <c r="AJ19" s="105"/>
      <c r="AK19" s="106"/>
      <c r="BT19" s="128" t="s">
        <v>200</v>
      </c>
      <c r="BU19" s="129">
        <f>VLOOKUP(BU16,Dicionários!V3:W39,2,0)</f>
        <v>1.345</v>
      </c>
      <c r="CE19" s="147"/>
      <c r="CF19" s="148"/>
      <c r="CG19" s="148"/>
      <c r="CH19" s="148"/>
      <c r="CI19" s="148"/>
      <c r="CJ19" s="149"/>
    </row>
    <row r="20" spans="1:88" ht="28.5" customHeight="1" thickBot="1" x14ac:dyDescent="0.3">
      <c r="C20" s="35"/>
      <c r="D20" s="35"/>
      <c r="AG20" s="104"/>
      <c r="AH20" s="104"/>
      <c r="AI20" s="104"/>
      <c r="AJ20" s="105"/>
      <c r="AK20" s="106"/>
      <c r="AL20" s="104"/>
      <c r="BT20" s="128" t="s">
        <v>201</v>
      </c>
      <c r="BU20" s="129">
        <f>BU14-BU19*(BU15/(BU13-1)^0.5)</f>
        <v>1074.2339556018483</v>
      </c>
      <c r="CE20" s="150"/>
      <c r="CF20" s="151"/>
      <c r="CG20" s="151"/>
      <c r="CH20" s="151"/>
      <c r="CI20" s="151"/>
      <c r="CJ20" s="152"/>
    </row>
    <row r="21" spans="1:88" ht="28.5" customHeight="1" x14ac:dyDescent="0.25">
      <c r="C21" s="35"/>
      <c r="D21" s="35"/>
      <c r="AG21" s="104"/>
      <c r="AH21" s="104"/>
      <c r="AI21" s="104"/>
      <c r="AJ21" s="105"/>
      <c r="AK21" s="106"/>
      <c r="BT21" s="128" t="s">
        <v>202</v>
      </c>
      <c r="BU21" s="129">
        <f>BU14+BU19*(BU15/(BU13-1)^0.5)</f>
        <v>1230.4969697447773</v>
      </c>
    </row>
    <row r="22" spans="1:88" ht="28.5" customHeight="1" x14ac:dyDescent="0.25">
      <c r="C22" s="35"/>
      <c r="D22" s="35"/>
      <c r="AG22" s="104"/>
      <c r="AH22" s="104"/>
      <c r="AI22" s="104"/>
      <c r="AJ22" s="105"/>
      <c r="AK22" s="106"/>
      <c r="BT22" s="128" t="s">
        <v>195</v>
      </c>
      <c r="BU22" s="129">
        <f>BU21-BU20</f>
        <v>156.26301414292902</v>
      </c>
    </row>
    <row r="23" spans="1:88" ht="28.5" customHeight="1" thickBot="1" x14ac:dyDescent="0.3">
      <c r="C23" s="35"/>
      <c r="D23" s="35"/>
      <c r="AG23" s="104"/>
      <c r="AH23" s="104"/>
      <c r="AI23" s="104"/>
      <c r="AJ23" s="105"/>
      <c r="AK23" s="106"/>
      <c r="BT23" s="130" t="s">
        <v>196</v>
      </c>
      <c r="BU23" s="131">
        <f>(BU22/BU14)</f>
        <v>0.13560195893099969</v>
      </c>
    </row>
    <row r="24" spans="1:88" ht="19.5" customHeight="1" x14ac:dyDescent="0.2">
      <c r="C24" s="35"/>
      <c r="D24" s="35"/>
      <c r="AG24" s="104"/>
      <c r="AH24" s="104"/>
      <c r="AI24" s="104"/>
      <c r="AJ24" s="105"/>
      <c r="AK24" s="106"/>
    </row>
  </sheetData>
  <mergeCells count="58">
    <mergeCell ref="BW17:BY17"/>
    <mergeCell ref="BZ17:CA17"/>
    <mergeCell ref="CB17:CC17"/>
    <mergeCell ref="CE17:CJ20"/>
    <mergeCell ref="BW14:BY14"/>
    <mergeCell ref="BZ14:CA14"/>
    <mergeCell ref="CB14:CC14"/>
    <mergeCell ref="CE14:CJ16"/>
    <mergeCell ref="BW15:BY15"/>
    <mergeCell ref="BZ15:CA15"/>
    <mergeCell ref="CB15:CC15"/>
    <mergeCell ref="BW16:BY16"/>
    <mergeCell ref="BZ16:CA16"/>
    <mergeCell ref="CB16:CC16"/>
    <mergeCell ref="BW13:BY13"/>
    <mergeCell ref="BZ13:CA13"/>
    <mergeCell ref="Y2:Z2"/>
    <mergeCell ref="AA2:AB2"/>
    <mergeCell ref="BZ3:CA3"/>
    <mergeCell ref="BZ8:CA8"/>
    <mergeCell ref="BW9:BY9"/>
    <mergeCell ref="BZ9:CA9"/>
    <mergeCell ref="BW10:BY10"/>
    <mergeCell ref="BZ10:CA10"/>
    <mergeCell ref="CE4:CJ12"/>
    <mergeCell ref="BW6:BY6"/>
    <mergeCell ref="BZ6:CA6"/>
    <mergeCell ref="BW7:BY7"/>
    <mergeCell ref="BZ7:CA7"/>
    <mergeCell ref="BW8:BY8"/>
    <mergeCell ref="C1:D1"/>
    <mergeCell ref="E1:F1"/>
    <mergeCell ref="AJ1:AM1"/>
    <mergeCell ref="AO1:AR1"/>
    <mergeCell ref="M2:N2"/>
    <mergeCell ref="O2:P2"/>
    <mergeCell ref="Q2:R2"/>
    <mergeCell ref="S2:T2"/>
    <mergeCell ref="U2:V2"/>
    <mergeCell ref="W2:X2"/>
    <mergeCell ref="AA1:AB1"/>
    <mergeCell ref="AC1:AD1"/>
    <mergeCell ref="C2:D2"/>
    <mergeCell ref="E2:F2"/>
    <mergeCell ref="G2:H2"/>
    <mergeCell ref="I2:J2"/>
    <mergeCell ref="K2:L2"/>
    <mergeCell ref="G1:H1"/>
    <mergeCell ref="I1:J1"/>
    <mergeCell ref="K1:L1"/>
    <mergeCell ref="M1:N1"/>
    <mergeCell ref="AT1:AU1"/>
    <mergeCell ref="O1:P1"/>
    <mergeCell ref="Q1:R1"/>
    <mergeCell ref="S1:T1"/>
    <mergeCell ref="U1:V1"/>
    <mergeCell ref="W1:X1"/>
    <mergeCell ref="Y1:Z1"/>
  </mergeCells>
  <conditionalFormatting sqref="C1 E1 G1 I1 K1 M1 O1 Q1 S1 U1 W1 Y1 AA1 AC1">
    <cfRule type="expression" dxfId="39" priority="19">
      <formula>C$1="NÃO"</formula>
    </cfRule>
    <cfRule type="expression" dxfId="38" priority="20">
      <formula>C$1="SIM"</formula>
    </cfRule>
  </conditionalFormatting>
  <conditionalFormatting sqref="C3:C18">
    <cfRule type="expression" dxfId="37" priority="16">
      <formula>$C$1="NÃO"</formula>
    </cfRule>
  </conditionalFormatting>
  <conditionalFormatting sqref="E3:E18">
    <cfRule type="expression" dxfId="36" priority="15">
      <formula>$E$1="NÃO"</formula>
    </cfRule>
  </conditionalFormatting>
  <conditionalFormatting sqref="G3:G18">
    <cfRule type="expression" dxfId="35" priority="14">
      <formula>$G$1="NÃO"</formula>
    </cfRule>
  </conditionalFormatting>
  <conditionalFormatting sqref="I3:I18">
    <cfRule type="expression" dxfId="34" priority="13">
      <formula>$I$1="NÃO"</formula>
    </cfRule>
  </conditionalFormatting>
  <conditionalFormatting sqref="M3:M18">
    <cfRule type="expression" dxfId="33" priority="12">
      <formula>$M$1="NÃO"</formula>
    </cfRule>
  </conditionalFormatting>
  <conditionalFormatting sqref="O3:O18">
    <cfRule type="expression" dxfId="32" priority="11">
      <formula>$O$1="NÃO"</formula>
    </cfRule>
  </conditionalFormatting>
  <conditionalFormatting sqref="Q3:Q18">
    <cfRule type="expression" dxfId="31" priority="10">
      <formula>$Q$1="NÃO"</formula>
    </cfRule>
  </conditionalFormatting>
  <conditionalFormatting sqref="S3:S18">
    <cfRule type="expression" dxfId="30" priority="9">
      <formula>$S$1="NÃO"</formula>
    </cfRule>
  </conditionalFormatting>
  <conditionalFormatting sqref="U3:U18">
    <cfRule type="expression" dxfId="29" priority="8">
      <formula>$U$1="NÃO"</formula>
    </cfRule>
  </conditionalFormatting>
  <conditionalFormatting sqref="W3:W18">
    <cfRule type="expression" dxfId="28" priority="7">
      <formula>$W$1="NÃO"</formula>
    </cfRule>
  </conditionalFormatting>
  <conditionalFormatting sqref="Y3:Y18">
    <cfRule type="expression" dxfId="27" priority="6">
      <formula>$Y$1="NÃO"</formula>
    </cfRule>
  </conditionalFormatting>
  <conditionalFormatting sqref="AA3:AA18">
    <cfRule type="expression" dxfId="26" priority="5">
      <formula>$AA$1="NÃO"</formula>
    </cfRule>
  </conditionalFormatting>
  <conditionalFormatting sqref="AC3:AC18">
    <cfRule type="expression" dxfId="25" priority="4">
      <formula>$AC$1="NÃO"</formula>
    </cfRule>
  </conditionalFormatting>
  <conditionalFormatting sqref="AW1:BI1">
    <cfRule type="expression" dxfId="24" priority="17">
      <formula>AW$1="NÃO"</formula>
    </cfRule>
    <cfRule type="expression" dxfId="23" priority="18">
      <formula>AW$1="SIM"</formula>
    </cfRule>
  </conditionalFormatting>
  <conditionalFormatting sqref="BP3:BP17">
    <cfRule type="expression" dxfId="22" priority="1">
      <formula>$BP3 = "REJEITADO"</formula>
    </cfRule>
  </conditionalFormatting>
  <conditionalFormatting sqref="BR3:BR17">
    <cfRule type="expression" dxfId="21" priority="2">
      <formula>$BR3="Não"</formula>
    </cfRule>
    <cfRule type="expression" dxfId="20" priority="3">
      <formula>$BR3="Sim"</formula>
    </cfRule>
  </conditionalFormatting>
  <dataValidations count="8">
    <dataValidation type="list" allowBlank="1" showInputMessage="1" showErrorMessage="1" sqref="AH21" xr:uid="{28649FB2-6108-456A-84C8-A7F305264BBF}">
      <formula1>"Valor,Valor Unitário,Valor Unitário * fon,Valor Unitário hom"</formula1>
    </dataValidation>
    <dataValidation type="list" allowBlank="1" showInputMessage="1" showErrorMessage="1" sqref="C3:C18" xr:uid="{A1E8D642-09CD-4280-AA93-5ADD9D95A4F3}">
      <mc:AlternateContent xmlns:x12ac="http://schemas.microsoft.com/office/spreadsheetml/2011/1/ac" xmlns:mc="http://schemas.openxmlformats.org/markup-compatibility/2006">
        <mc:Choice Requires="x12ac">
          <x12ac:list>"0,5","0,6","0,7","0,8","0,9","1,0","1,1","1,2","1,3","1,4","1,5","1,6","1,7","1,8","1,9","2,0"</x12ac:list>
        </mc:Choice>
        <mc:Fallback>
          <formula1>"0,5,0,6,0,7,0,8,0,9,1,0,1,1,1,2,1,3,1,4,1,5,1,6,1,7,1,8,1,9,2,0"</formula1>
        </mc:Fallback>
      </mc:AlternateContent>
    </dataValidation>
    <dataValidation type="list" allowBlank="1" showInputMessage="1" showErrorMessage="1" sqref="BR3:BR17" xr:uid="{C9D6CF45-69B5-41A0-99F9-63E73188DF7B}">
      <formula1>"Sim,Não"</formula1>
    </dataValidation>
    <dataValidation type="list" allowBlank="1" showInputMessage="1" showErrorMessage="1" sqref="AH1" xr:uid="{2BAAFC4A-EB89-4F83-9A53-F23A3E12DD4E}">
      <formula1>"Terreno,Construída"</formula1>
    </dataValidation>
    <dataValidation type="list" allowBlank="1" showInputMessage="1" showErrorMessage="1" sqref="M1 AC1 O1 Q1 S1 U1 W1 Y1 C1 E1 G1 I1 K1 AA1" xr:uid="{A080AE7A-9F52-4B00-86CA-0A4135D1AB03}">
      <formula1>"SIM,NÃO"</formula1>
    </dataValidation>
    <dataValidation type="list" allowBlank="1" showInputMessage="1" showErrorMessage="1" sqref="AG3:AG18" xr:uid="{AD171743-4780-420B-A80B-FAAECADAEF5B}">
      <mc:AlternateContent xmlns:x12ac="http://schemas.microsoft.com/office/spreadsheetml/2011/1/ac" xmlns:mc="http://schemas.openxmlformats.org/markup-compatibility/2006">
        <mc:Choice Requires="x12ac">
          <x12ac:list>1,"0,95","0,9","0,85","0,80"</x12ac:list>
        </mc:Choice>
        <mc:Fallback>
          <formula1>"1,0,95,0,9,0,85,0,80"</formula1>
        </mc:Fallback>
      </mc:AlternateContent>
    </dataValidation>
    <dataValidation type="list" allowBlank="1" showInputMessage="1" showErrorMessage="1" sqref="AA3:AA18" xr:uid="{114C57CC-88BB-4E42-9568-B58B4A2211AC}">
      <formula1>"0,1,2,3,4,5,6,7,8,9,10"</formula1>
      <formula2>0</formula2>
    </dataValidation>
    <dataValidation type="list" allowBlank="1" showInputMessage="1" showErrorMessage="1" sqref="AC2" xr:uid="{BB3D9678-1CC3-49E1-9E20-454B0A3C4E01}">
      <formula1>"Andar Res,Andar Com"</formula1>
    </dataValidation>
  </dataValidation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EF8D4D0-4CA7-4264-9006-28FCFBB63597}">
          <x14:formula1>
            <xm:f>Dicionários!$M$2:$M$22</xm:f>
          </x14:formula1>
          <xm:sqref>Y3:Y18</xm:sqref>
        </x14:dataValidation>
        <x14:dataValidation type="list" allowBlank="1" showInputMessage="1" showErrorMessage="1" xr:uid="{7B81B4A4-F7CC-4C0D-9C49-FE4E115CBB09}">
          <x14:formula1>
            <xm:f>Dicionários!$K$2:$K$22</xm:f>
          </x14:formula1>
          <xm:sqref>W3:W18</xm:sqref>
        </x14:dataValidation>
        <x14:dataValidation type="list" allowBlank="1" showInputMessage="1" showErrorMessage="1" xr:uid="{DD8C94D7-3661-4CED-917F-9FD8854BFE0D}">
          <x14:formula1>
            <xm:f>Dicionários!$I$2:$I$22</xm:f>
          </x14:formula1>
          <xm:sqref>U3:U18</xm:sqref>
        </x14:dataValidation>
        <x14:dataValidation type="list" allowBlank="1" showInputMessage="1" showErrorMessage="1" xr:uid="{C93F3AEA-FD39-44D0-A170-548ED1C8238E}">
          <x14:formula1>
            <xm:f>Dicionários!$G$2:$G$22</xm:f>
          </x14:formula1>
          <xm:sqref>S3:S18</xm:sqref>
        </x14:dataValidation>
        <x14:dataValidation type="list" allowBlank="1" showInputMessage="1" showErrorMessage="1" xr:uid="{D3D9CFD3-7E82-40DE-BD80-C32295971DC7}">
          <x14:formula1>
            <xm:f>Dicionários!$E$2:$E$22</xm:f>
          </x14:formula1>
          <xm:sqref>Q3:Q18</xm:sqref>
        </x14:dataValidation>
        <x14:dataValidation type="list" allowBlank="1" showInputMessage="1" showErrorMessage="1" xr:uid="{9CAEE077-831C-4044-801F-CE3627140D06}">
          <x14:formula1>
            <xm:f>Dicionários!$C$2:$C$22</xm:f>
          </x14:formula1>
          <xm:sqref>O3:O18</xm:sqref>
        </x14:dataValidation>
        <x14:dataValidation type="list" allowBlank="1" showInputMessage="1" showErrorMessage="1" xr:uid="{1FA65609-2B79-4B0A-BE0E-B316D67D74BE}">
          <x14:formula1>
            <xm:f>Dicionários!$A$2:$A$22</xm:f>
          </x14:formula1>
          <xm:sqref>M3:M18</xm:sqref>
        </x14:dataValidation>
        <x14:dataValidation type="list" allowBlank="1" showInputMessage="1" showErrorMessage="1" xr:uid="{4B913993-7085-443E-AC5A-ECCB8B3EBCAC}">
          <x14:formula1>
            <xm:f>Dicionários!$O$2:$O$22</xm:f>
          </x14:formula1>
          <xm:sqref>AC3:AC18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3883-A6EF-4182-9EB5-F5EEA4748C49}">
  <dimension ref="A1:CJ24"/>
  <sheetViews>
    <sheetView showGridLines="0" zoomScaleNormal="100" workbookViewId="0">
      <selection activeCell="AH3" sqref="AH3"/>
    </sheetView>
  </sheetViews>
  <sheetFormatPr defaultRowHeight="12.75" outlineLevelCol="1" x14ac:dyDescent="0.2"/>
  <cols>
    <col min="1" max="1" width="5.5703125" style="35" customWidth="1"/>
    <col min="2" max="2" width="29.5703125" style="35" customWidth="1"/>
    <col min="3" max="3" width="11.28515625" style="78" customWidth="1" outlineLevel="1"/>
    <col min="4" max="4" width="5.7109375" style="78" customWidth="1" outlineLevel="1"/>
    <col min="5" max="5" width="11.28515625" style="35" customWidth="1" outlineLevel="1"/>
    <col min="6" max="6" width="5.7109375" style="35" customWidth="1" outlineLevel="1"/>
    <col min="7" max="7" width="11.28515625" style="35" customWidth="1" outlineLevel="1"/>
    <col min="8" max="8" width="5.7109375" style="35" customWidth="1" outlineLevel="1"/>
    <col min="9" max="9" width="11.28515625" style="35" customWidth="1" outlineLevel="1"/>
    <col min="10" max="10" width="5.7109375" style="35" customWidth="1" outlineLevel="1"/>
    <col min="11" max="11" width="11.28515625" style="35" customWidth="1" outlineLevel="1"/>
    <col min="12" max="12" width="5.7109375" style="35" customWidth="1" outlineLevel="1"/>
    <col min="13" max="13" width="11.28515625" style="35" customWidth="1" outlineLevel="1"/>
    <col min="14" max="14" width="5.7109375" style="35" customWidth="1" outlineLevel="1"/>
    <col min="15" max="15" width="11.28515625" style="35" customWidth="1" outlineLevel="1"/>
    <col min="16" max="16" width="5.7109375" style="35" customWidth="1" outlineLevel="1"/>
    <col min="17" max="17" width="11.28515625" style="35" customWidth="1" outlineLevel="1"/>
    <col min="18" max="18" width="5.7109375" style="35" customWidth="1" outlineLevel="1"/>
    <col min="19" max="19" width="11.28515625" style="35" customWidth="1" outlineLevel="1"/>
    <col min="20" max="20" width="5.7109375" style="35" customWidth="1" outlineLevel="1"/>
    <col min="21" max="21" width="11.28515625" style="35" customWidth="1" outlineLevel="1"/>
    <col min="22" max="22" width="5.7109375" style="35" customWidth="1" outlineLevel="1"/>
    <col min="23" max="23" width="11.28515625" style="35" customWidth="1" outlineLevel="1"/>
    <col min="24" max="24" width="5.7109375" style="35" customWidth="1" outlineLevel="1"/>
    <col min="25" max="25" width="11.28515625" style="35" customWidth="1" outlineLevel="1"/>
    <col min="26" max="26" width="5.7109375" style="35" customWidth="1" outlineLevel="1"/>
    <col min="27" max="27" width="11.28515625" style="35" customWidth="1" outlineLevel="1"/>
    <col min="28" max="28" width="5.7109375" style="35" customWidth="1" outlineLevel="1"/>
    <col min="29" max="29" width="11.28515625" style="35" customWidth="1" outlineLevel="1"/>
    <col min="30" max="30" width="5.7109375" style="35" customWidth="1" outlineLevel="1"/>
    <col min="31" max="32" width="15.140625" style="35" customWidth="1" outlineLevel="1"/>
    <col min="33" max="33" width="6.42578125" style="35" customWidth="1" outlineLevel="1"/>
    <col min="34" max="34" width="17.5703125" style="35" customWidth="1" outlineLevel="1"/>
    <col min="35" max="35" width="2.5703125" style="35" customWidth="1"/>
    <col min="36" max="36" width="6.7109375" style="79" customWidth="1" outlineLevel="1"/>
    <col min="37" max="38" width="5" style="80" customWidth="1" outlineLevel="1"/>
    <col min="39" max="39" width="4.140625" style="79" customWidth="1" outlineLevel="1"/>
    <col min="40" max="40" width="2.5703125" style="80" customWidth="1" outlineLevel="1"/>
    <col min="41" max="41" width="6.42578125" style="79" customWidth="1" outlineLevel="1"/>
    <col min="42" max="43" width="5" style="80" customWidth="1" outlineLevel="1"/>
    <col min="44" max="44" width="4.140625" style="79" customWidth="1" outlineLevel="1"/>
    <col min="45" max="45" width="2.5703125" style="81" customWidth="1" outlineLevel="1"/>
    <col min="46" max="46" width="2.7109375" style="81" customWidth="1" outlineLevel="1"/>
    <col min="47" max="47" width="7" style="81" customWidth="1" outlineLevel="1"/>
    <col min="48" max="48" width="2.5703125" style="35" customWidth="1"/>
    <col min="49" max="61" width="5.5703125" style="35" customWidth="1" outlineLevel="1"/>
    <col min="62" max="62" width="11.140625" style="35" bestFit="1" customWidth="1" outlineLevel="1"/>
    <col min="63" max="63" width="3.42578125" style="35" customWidth="1"/>
    <col min="64" max="65" width="16.42578125" style="35" customWidth="1"/>
    <col min="66" max="66" width="8.5703125" style="35" bestFit="1" customWidth="1"/>
    <col min="67" max="67" width="7.140625" style="35" bestFit="1" customWidth="1"/>
    <col min="68" max="68" width="12.5703125" style="35" bestFit="1" customWidth="1"/>
    <col min="69" max="69" width="2.5703125" style="35" customWidth="1"/>
    <col min="70" max="70" width="8.7109375" style="82" customWidth="1"/>
    <col min="71" max="71" width="1.42578125" style="35" customWidth="1"/>
    <col min="72" max="72" width="32.42578125" style="35" bestFit="1" customWidth="1"/>
    <col min="73" max="73" width="14.7109375" style="35" customWidth="1"/>
    <col min="74" max="74" width="1.42578125" style="35" customWidth="1"/>
    <col min="75" max="76" width="8.7109375" style="35" customWidth="1"/>
    <col min="77" max="77" width="11.85546875" style="35" customWidth="1"/>
    <col min="78" max="81" width="8.7109375" style="35" customWidth="1"/>
    <col min="82" max="82" width="1.42578125" style="35" customWidth="1"/>
    <col min="83" max="1067" width="8.7109375" style="35" customWidth="1"/>
    <col min="1068" max="16384" width="9.140625" style="35"/>
  </cols>
  <sheetData>
    <row r="1" spans="1:88" ht="19.5" customHeight="1" thickBot="1" x14ac:dyDescent="0.3">
      <c r="A1" s="107"/>
      <c r="B1" s="108" t="s">
        <v>173</v>
      </c>
      <c r="C1" s="164" t="s">
        <v>155</v>
      </c>
      <c r="D1" s="165"/>
      <c r="E1" s="164" t="s">
        <v>155</v>
      </c>
      <c r="F1" s="165"/>
      <c r="G1" s="164" t="s">
        <v>257</v>
      </c>
      <c r="H1" s="165"/>
      <c r="I1" s="164" t="s">
        <v>257</v>
      </c>
      <c r="J1" s="165"/>
      <c r="K1" s="164" t="s">
        <v>257</v>
      </c>
      <c r="L1" s="165"/>
      <c r="M1" s="164" t="s">
        <v>257</v>
      </c>
      <c r="N1" s="165"/>
      <c r="O1" s="164" t="s">
        <v>257</v>
      </c>
      <c r="P1" s="165"/>
      <c r="Q1" s="164" t="s">
        <v>257</v>
      </c>
      <c r="R1" s="165"/>
      <c r="S1" s="164" t="s">
        <v>257</v>
      </c>
      <c r="T1" s="165"/>
      <c r="U1" s="164" t="s">
        <v>257</v>
      </c>
      <c r="V1" s="165"/>
      <c r="W1" s="164" t="s">
        <v>257</v>
      </c>
      <c r="X1" s="165"/>
      <c r="Y1" s="164" t="s">
        <v>155</v>
      </c>
      <c r="Z1" s="165"/>
      <c r="AA1" s="164" t="s">
        <v>257</v>
      </c>
      <c r="AB1" s="165"/>
      <c r="AC1" s="171" t="s">
        <v>155</v>
      </c>
      <c r="AD1" s="172"/>
      <c r="AE1" s="109"/>
      <c r="AF1" s="109"/>
      <c r="AG1" s="109"/>
      <c r="AH1" s="110" t="s">
        <v>258</v>
      </c>
      <c r="AI1" s="98"/>
      <c r="AJ1" s="166" t="s">
        <v>120</v>
      </c>
      <c r="AK1" s="166"/>
      <c r="AL1" s="166"/>
      <c r="AM1" s="166"/>
      <c r="AN1" s="111"/>
      <c r="AO1" s="166" t="s">
        <v>121</v>
      </c>
      <c r="AP1" s="166"/>
      <c r="AQ1" s="166"/>
      <c r="AR1" s="166"/>
      <c r="AS1" s="112"/>
      <c r="AT1" s="173" t="s">
        <v>122</v>
      </c>
      <c r="AU1" s="173"/>
      <c r="AV1" s="98"/>
      <c r="AW1" s="34" t="str">
        <f>C1</f>
        <v>SIM</v>
      </c>
      <c r="AX1" s="34" t="str">
        <f>E1</f>
        <v>SIM</v>
      </c>
      <c r="AY1" s="34" t="str">
        <f>G1</f>
        <v>NÃO</v>
      </c>
      <c r="AZ1" s="34" t="str">
        <f>K1</f>
        <v>NÃO</v>
      </c>
      <c r="BA1" s="34" t="str">
        <f>M1</f>
        <v>NÃO</v>
      </c>
      <c r="BB1" s="34" t="str">
        <f>O1</f>
        <v>NÃO</v>
      </c>
      <c r="BC1" s="34" t="str">
        <f>Q1</f>
        <v>NÃO</v>
      </c>
      <c r="BD1" s="34" t="str">
        <f>S1</f>
        <v>NÃO</v>
      </c>
      <c r="BE1" s="34" t="str">
        <f>U1</f>
        <v>NÃO</v>
      </c>
      <c r="BF1" s="34" t="str">
        <f>W1</f>
        <v>NÃO</v>
      </c>
      <c r="BG1" s="34" t="str">
        <f>Y1</f>
        <v>SIM</v>
      </c>
      <c r="BH1" s="34" t="str">
        <f>AA1</f>
        <v>NÃO</v>
      </c>
      <c r="BI1" s="34" t="str">
        <f>AC1</f>
        <v>SIM</v>
      </c>
      <c r="BJ1" s="98"/>
      <c r="BK1" s="98"/>
      <c r="BL1" s="98"/>
      <c r="BM1" s="98"/>
      <c r="BN1" s="98"/>
      <c r="BO1" s="98"/>
      <c r="BP1" s="98"/>
      <c r="BQ1" s="98"/>
      <c r="BR1" s="113"/>
    </row>
    <row r="2" spans="1:88" ht="30" customHeight="1" thickBot="1" x14ac:dyDescent="0.3">
      <c r="A2" s="114" t="s">
        <v>126</v>
      </c>
      <c r="B2" s="36" t="s">
        <v>127</v>
      </c>
      <c r="C2" s="169" t="s">
        <v>242</v>
      </c>
      <c r="D2" s="170"/>
      <c r="E2" s="169" t="s">
        <v>243</v>
      </c>
      <c r="F2" s="170"/>
      <c r="G2" s="169" t="s">
        <v>244</v>
      </c>
      <c r="H2" s="170"/>
      <c r="I2" s="169" t="s">
        <v>245</v>
      </c>
      <c r="J2" s="170"/>
      <c r="K2" s="169" t="s">
        <v>246</v>
      </c>
      <c r="L2" s="170"/>
      <c r="M2" s="167" t="s">
        <v>247</v>
      </c>
      <c r="N2" s="168"/>
      <c r="O2" s="167" t="s">
        <v>88</v>
      </c>
      <c r="P2" s="168"/>
      <c r="Q2" s="167" t="s">
        <v>77</v>
      </c>
      <c r="R2" s="168"/>
      <c r="S2" s="167" t="s">
        <v>125</v>
      </c>
      <c r="T2" s="168"/>
      <c r="U2" s="167" t="s">
        <v>118</v>
      </c>
      <c r="V2" s="168"/>
      <c r="W2" s="167" t="s">
        <v>248</v>
      </c>
      <c r="X2" s="168"/>
      <c r="Y2" s="167" t="s">
        <v>249</v>
      </c>
      <c r="Z2" s="168"/>
      <c r="AA2" s="169" t="s">
        <v>250</v>
      </c>
      <c r="AB2" s="170"/>
      <c r="AC2" s="142" t="s">
        <v>285</v>
      </c>
      <c r="AD2" s="143">
        <f>IF(AC2="Andar Res",3,2)</f>
        <v>3</v>
      </c>
      <c r="AE2" s="37" t="s">
        <v>251</v>
      </c>
      <c r="AF2" s="37" t="s">
        <v>256</v>
      </c>
      <c r="AG2" s="38" t="s">
        <v>241</v>
      </c>
      <c r="AH2" s="39" t="s">
        <v>252</v>
      </c>
      <c r="AI2" s="40"/>
      <c r="AJ2" s="41" t="s">
        <v>236</v>
      </c>
      <c r="AK2" s="42" t="s">
        <v>237</v>
      </c>
      <c r="AL2" s="42" t="s">
        <v>238</v>
      </c>
      <c r="AM2" s="41" t="s">
        <v>123</v>
      </c>
      <c r="AN2" s="43"/>
      <c r="AO2" s="41" t="s">
        <v>236</v>
      </c>
      <c r="AP2" s="42" t="s">
        <v>237</v>
      </c>
      <c r="AQ2" s="42" t="s">
        <v>239</v>
      </c>
      <c r="AR2" s="41" t="s">
        <v>123</v>
      </c>
      <c r="AS2" s="44"/>
      <c r="AT2" s="45" t="s">
        <v>156</v>
      </c>
      <c r="AU2" s="45" t="s">
        <v>157</v>
      </c>
      <c r="AV2" s="40"/>
      <c r="AW2" s="46" t="s">
        <v>222</v>
      </c>
      <c r="AX2" s="46" t="s">
        <v>223</v>
      </c>
      <c r="AY2" s="46" t="s">
        <v>224</v>
      </c>
      <c r="AZ2" s="46" t="s">
        <v>225</v>
      </c>
      <c r="BA2" s="46" t="s">
        <v>226</v>
      </c>
      <c r="BB2" s="46" t="s">
        <v>227</v>
      </c>
      <c r="BC2" s="46" t="s">
        <v>228</v>
      </c>
      <c r="BD2" s="46" t="s">
        <v>229</v>
      </c>
      <c r="BE2" s="46" t="s">
        <v>230</v>
      </c>
      <c r="BF2" s="46" t="s">
        <v>231</v>
      </c>
      <c r="BG2" s="46" t="s">
        <v>232</v>
      </c>
      <c r="BH2" s="46" t="s">
        <v>233</v>
      </c>
      <c r="BI2" s="46" t="s">
        <v>234</v>
      </c>
      <c r="BJ2" s="46" t="s">
        <v>235</v>
      </c>
      <c r="BK2" s="47"/>
      <c r="BL2" s="48" t="s">
        <v>272</v>
      </c>
      <c r="BM2" s="48" t="s">
        <v>273</v>
      </c>
      <c r="BN2" s="48" t="s">
        <v>253</v>
      </c>
      <c r="BO2" s="48" t="s">
        <v>254</v>
      </c>
      <c r="BP2" s="48" t="s">
        <v>255</v>
      </c>
      <c r="BQ2" s="40"/>
      <c r="BR2" s="115"/>
      <c r="BT2" s="84" t="s">
        <v>286</v>
      </c>
      <c r="BU2" s="95"/>
      <c r="BW2" s="84" t="s">
        <v>197</v>
      </c>
      <c r="BX2" s="85"/>
      <c r="BY2" s="85"/>
      <c r="BZ2" s="85"/>
      <c r="CA2" s="86"/>
      <c r="CB2" s="86"/>
      <c r="CC2" s="87"/>
      <c r="CE2" s="84" t="s">
        <v>215</v>
      </c>
      <c r="CF2" s="85"/>
      <c r="CG2" s="85"/>
      <c r="CH2" s="85"/>
      <c r="CI2" s="86"/>
      <c r="CJ2" s="102"/>
    </row>
    <row r="3" spans="1:88" s="63" customFormat="1" ht="28.5" customHeight="1" thickBot="1" x14ac:dyDescent="0.3">
      <c r="A3" s="116">
        <v>1</v>
      </c>
      <c r="B3" s="13" t="s">
        <v>278</v>
      </c>
      <c r="C3" s="14">
        <v>1.3</v>
      </c>
      <c r="D3" s="49">
        <f>C3</f>
        <v>1.3</v>
      </c>
      <c r="E3" s="15">
        <v>209.07</v>
      </c>
      <c r="F3" s="50"/>
      <c r="G3" s="15"/>
      <c r="H3" s="50"/>
      <c r="I3" s="15"/>
      <c r="J3" s="50"/>
      <c r="K3" s="51" t="str">
        <f t="shared" ref="K3:K18" si="0">IF(G3="","",G3/I3)</f>
        <v/>
      </c>
      <c r="L3" s="52"/>
      <c r="M3" s="14"/>
      <c r="N3" s="53" t="str">
        <f>IF(M$1="SIM",IF(M3="","1",VLOOKUP(M3,Dicionários!$A$2:$B$22,2,0)),"1")</f>
        <v>1</v>
      </c>
      <c r="O3" s="14"/>
      <c r="P3" s="53" t="str">
        <f>IF(O$1="SIM",IF(O3="","1",VLOOKUP(O3,Dicionários!$C$2:$D$22,2,0)),"1")</f>
        <v>1</v>
      </c>
      <c r="Q3" s="14"/>
      <c r="R3" s="53" t="str">
        <f>IF(Q$1="SIM",IF(Q3="","1",VLOOKUP(Q3,Dicionários!$E$2:$F$22,2,0)),"1")</f>
        <v>1</v>
      </c>
      <c r="S3" s="14"/>
      <c r="T3" s="53" t="str">
        <f>IF(S$1="SIM",IF(S3="","1",VLOOKUP(S3,Dicionários!$G$2:$H$22,2,0)),"1")</f>
        <v>1</v>
      </c>
      <c r="U3" s="14"/>
      <c r="V3" s="53" t="str">
        <f>IF(U$1="SIM",IF(U3="","1",VLOOKUP(U3,Dicionários!$I$2:$J$22,2,0)),"1")</f>
        <v>1</v>
      </c>
      <c r="W3" s="14"/>
      <c r="X3" s="53" t="str">
        <f>IF(W$1="SIM",IF(W3="","1",VLOOKUP(W3,Dicionários!$K$2:$L$22,2,0)),"1")</f>
        <v>1</v>
      </c>
      <c r="Y3" s="14" t="s">
        <v>164</v>
      </c>
      <c r="Z3" s="53">
        <f>IF(Y$1="SIM",IF(Y3="","1",VLOOKUP(Y3,Dicionários!$M$2:$N$12,2,0)),"1")</f>
        <v>1.45</v>
      </c>
      <c r="AA3" s="14"/>
      <c r="AB3" s="49"/>
      <c r="AC3" s="14" t="s">
        <v>135</v>
      </c>
      <c r="AD3" s="53">
        <f>IF(AC$1="SIM",IF(AC3="","1",VLOOKUP(AC3,Dicionários!$O$2:$Q$22,$AD$2,0)),"1")</f>
        <v>1.02</v>
      </c>
      <c r="AE3" s="26">
        <v>1720000</v>
      </c>
      <c r="AF3" s="54">
        <f>IF(AE3="","",IF($AH$1="Terreno",AE3/G3,AE3/E3))</f>
        <v>8226.9096474864873</v>
      </c>
      <c r="AG3" s="27">
        <v>0.9</v>
      </c>
      <c r="AH3" s="54">
        <f>IF(AE3="","",AF3*AG3)</f>
        <v>7404.2186827378391</v>
      </c>
      <c r="AI3" s="47"/>
      <c r="AJ3" s="55">
        <f>IF(E3="","",E3/$E$18)</f>
        <v>1.3937999999999999</v>
      </c>
      <c r="AK3" s="56">
        <f>ABS(E3-$E$18)</f>
        <v>59.069999999999993</v>
      </c>
      <c r="AL3" s="56">
        <f>0.3*$E$18</f>
        <v>45</v>
      </c>
      <c r="AM3" s="55">
        <f>IF(AK3&lt;=AL3,0.25,0.125)</f>
        <v>0.125</v>
      </c>
      <c r="AN3" s="57"/>
      <c r="AO3" s="55" t="str">
        <f>IF(G3="","",G3/$G$18)</f>
        <v/>
      </c>
      <c r="AP3" s="56">
        <f t="shared" ref="AP3:AP17" si="1">ABS(G3-$G$18)</f>
        <v>0</v>
      </c>
      <c r="AQ3" s="56">
        <f t="shared" ref="AQ3:AQ17" si="2">0.3*$G$18</f>
        <v>0</v>
      </c>
      <c r="AR3" s="55">
        <f>IF(AP3&lt;=AQ3,0.25,0.125)</f>
        <v>0.25</v>
      </c>
      <c r="AS3" s="58"/>
      <c r="AT3" s="59">
        <f t="shared" ref="AT3:AT18" si="3">IF(AND(G3&gt;5000,K3&gt;90),1,0)</f>
        <v>0</v>
      </c>
      <c r="AU3" s="59">
        <f t="shared" ref="AU3:AU18" si="4">IF(I3=0,1,IF(AT3=1,(4.8*(I3^2)*(G3^-0.4)),IF(K3&lt;20,ROUND((K3/20)^0.5,3),IF(K3&lt;33,1,IF(K3&lt;90,ROUND((33/K3)^0.5,3),0.6)))))</f>
        <v>1</v>
      </c>
      <c r="AV3" s="47"/>
      <c r="AW3" s="60">
        <f>IF(C3="",1,IF(C$1="SIM",$C$18/C3,1))</f>
        <v>0.84615384615384615</v>
      </c>
      <c r="AX3" s="60">
        <f>IF(E3="",1,IF(E$1="SIM",AJ3^AM3,1))</f>
        <v>1.0423775697992048</v>
      </c>
      <c r="AY3" s="60">
        <f>IF(G3="",1,IF(G$1="SIM",AO3^AR3,1))</f>
        <v>1</v>
      </c>
      <c r="AZ3" s="60">
        <f>IF(K3="",1,IF(K$1="SIM",$AU$18/AU3,1))</f>
        <v>1</v>
      </c>
      <c r="BA3" s="60">
        <f>IF(M$1="SIM",$N$18/N3,1)</f>
        <v>1</v>
      </c>
      <c r="BB3" s="60">
        <f>IF(O$1="SIM",$P$18/P3,1)</f>
        <v>1</v>
      </c>
      <c r="BC3" s="60">
        <f>IF(Q$1="SIM",$R$18/R3,1)</f>
        <v>1</v>
      </c>
      <c r="BD3" s="60">
        <f>IF(S$1="SIM",$T$18/T3,1)</f>
        <v>1</v>
      </c>
      <c r="BE3" s="60">
        <f>IF(U$1="SIM",$V$18/V3,1)</f>
        <v>1</v>
      </c>
      <c r="BF3" s="60">
        <f>IF(W$1="SIM",$X$18/X3,1)</f>
        <v>1</v>
      </c>
      <c r="BG3" s="60">
        <f>IF(Y$1="SIM",$Z$18/Z3,1)</f>
        <v>0.89655172413793105</v>
      </c>
      <c r="BH3" s="60">
        <f t="shared" ref="BH3:BH17" si="5">IF(AA3-$AA$18=0,1,1-0.067*(AA3-$AA$18))</f>
        <v>1</v>
      </c>
      <c r="BI3" s="60">
        <f>IF(AC$1="SIM",$AD$18/AD3,1)</f>
        <v>1.0607843137254902</v>
      </c>
      <c r="BJ3" s="61">
        <f t="shared" ref="BJ3:BJ17" si="6">1/1+((AW3-1)+(AX3-1)+(AY3-1)+(AZ3-1))+(BA3-1)+(BB3-1)+(BC3-1)+(BD3-1)+(BE3-1)+(BF3-1)+(BG3-1)+(BH3-1)+(BI3-1)</f>
        <v>0.84586745381647221</v>
      </c>
      <c r="BK3" s="47"/>
      <c r="BL3" s="62">
        <f t="shared" ref="BL3:BL16" si="7">IF(AH3="","",BJ3*AH3)</f>
        <v>6262.98760466781</v>
      </c>
      <c r="BM3" s="62">
        <f t="shared" ref="BM3:BM16" si="8">IF(BL3="","",IF(BR3="Sim",AH3*BJ3,""))</f>
        <v>6262.98760466781</v>
      </c>
      <c r="BN3" s="62">
        <f t="shared" ref="BN3:BN17" si="9">IF(BM3="","",ABS((BM3-$BM$18)/$BU$15))</f>
        <v>0.47351376275800405</v>
      </c>
      <c r="BO3" s="62">
        <f>IF(BM3="","",VLOOKUP($BU$16,Dicionários!$S$2:$T$31,2,0))</f>
        <v>2.0299999999999998</v>
      </c>
      <c r="BP3" s="62" t="str">
        <f t="shared" ref="BP3:BP17" si="10">IF(BM3="","",IF(BN3&gt;BO3,"REJEITADO","ACEITO"))</f>
        <v>ACEITO</v>
      </c>
      <c r="BQ3" s="47"/>
      <c r="BR3" s="117" t="s">
        <v>219</v>
      </c>
      <c r="BT3" s="128" t="s">
        <v>187</v>
      </c>
      <c r="BU3" s="132">
        <f>COUNTA(BL3:BL17)</f>
        <v>15</v>
      </c>
      <c r="BV3" s="64"/>
      <c r="BW3" s="88" t="s">
        <v>205</v>
      </c>
      <c r="BX3" s="89"/>
      <c r="BY3" s="40"/>
      <c r="BZ3" s="163">
        <f>IF($AH$1="Terreno",G18,E18)</f>
        <v>150</v>
      </c>
      <c r="CA3" s="163"/>
      <c r="CB3" s="90" t="s">
        <v>204</v>
      </c>
      <c r="CC3" s="91"/>
      <c r="CE3" s="97" t="s">
        <v>217</v>
      </c>
      <c r="CF3" s="98"/>
      <c r="CG3" s="98"/>
      <c r="CH3" s="98"/>
      <c r="CI3" s="98"/>
      <c r="CJ3" s="99"/>
    </row>
    <row r="4" spans="1:88" s="63" customFormat="1" ht="28.5" customHeight="1" thickBot="1" x14ac:dyDescent="0.3">
      <c r="A4" s="118">
        <v>2</v>
      </c>
      <c r="B4" s="16" t="s">
        <v>278</v>
      </c>
      <c r="C4" s="14">
        <v>1.2</v>
      </c>
      <c r="D4" s="49">
        <f t="shared" ref="D4:D18" si="11">C4</f>
        <v>1.2</v>
      </c>
      <c r="E4" s="18">
        <v>195.01</v>
      </c>
      <c r="F4" s="66"/>
      <c r="G4" s="18"/>
      <c r="H4" s="66"/>
      <c r="I4" s="18"/>
      <c r="J4" s="66"/>
      <c r="K4" s="51" t="str">
        <f t="shared" si="0"/>
        <v/>
      </c>
      <c r="L4" s="67"/>
      <c r="M4" s="14"/>
      <c r="N4" s="53" t="str">
        <f>IF(M$1="SIM",IF(M4="","1",VLOOKUP(M4,Dicionários!$A$2:$B$22,2,0)),"1")</f>
        <v>1</v>
      </c>
      <c r="O4" s="14"/>
      <c r="P4" s="53" t="str">
        <f>IF(O$1="SIM",IF(O4="","1",VLOOKUP(O4,Dicionários!$C$2:$D$22,2,0)),"1")</f>
        <v>1</v>
      </c>
      <c r="Q4" s="14"/>
      <c r="R4" s="53" t="str">
        <f>IF(Q$1="SIM",IF(Q4="","1",VLOOKUP(Q4,Dicionários!$E$2:$F$22,2,0)),"1")</f>
        <v>1</v>
      </c>
      <c r="S4" s="14"/>
      <c r="T4" s="53" t="str">
        <f>IF(S$1="SIM",IF(S4="","1",VLOOKUP(S4,Dicionários!$G$2:$H$22,2,0)),"1")</f>
        <v>1</v>
      </c>
      <c r="U4" s="14"/>
      <c r="V4" s="53" t="str">
        <f>IF(U$1="SIM",IF(U4="","1",VLOOKUP(U4,Dicionários!$I$2:$J$22,2,0)),"1")</f>
        <v>1</v>
      </c>
      <c r="W4" s="17"/>
      <c r="X4" s="53" t="str">
        <f>IF(W$1="SIM",IF(W4="","1",VLOOKUP(W4,Dicionários!$K$2:$L$22,2,0)),"1")</f>
        <v>1</v>
      </c>
      <c r="Y4" s="17" t="s">
        <v>164</v>
      </c>
      <c r="Z4" s="53">
        <f>IF(Y$1="SIM",IF(Y4="","1",VLOOKUP(Y4,Dicionários!$M$2:$N$12,2,0)),"1")</f>
        <v>1.45</v>
      </c>
      <c r="AA4" s="17"/>
      <c r="AB4" s="65"/>
      <c r="AC4" s="17" t="s">
        <v>138</v>
      </c>
      <c r="AD4" s="53">
        <f>IF(AC$1="SIM",IF(AC4="","1",VLOOKUP(AC4,Dicionários!$O$2:$Q$22,$AD$2,0)),"1")</f>
        <v>1.0820000000000001</v>
      </c>
      <c r="AE4" s="28">
        <v>1550000</v>
      </c>
      <c r="AF4" s="54">
        <f t="shared" ref="AF4:AF17" si="12">IF(AE4="","",IF($AH$1="Terreno",AE4/G4,AE4/E4))</f>
        <v>7948.310343059331</v>
      </c>
      <c r="AG4" s="27">
        <v>0.9</v>
      </c>
      <c r="AH4" s="54">
        <f t="shared" ref="AH4:AH17" si="13">IF(AE4="","",AF4*AG4)</f>
        <v>7153.4793087533981</v>
      </c>
      <c r="AI4" s="47"/>
      <c r="AJ4" s="55">
        <f t="shared" ref="AJ4:AJ17" si="14">IF(E4="","",E4/$E$18)</f>
        <v>1.3000666666666667</v>
      </c>
      <c r="AK4" s="56">
        <f t="shared" ref="AK4:AK17" si="15">ABS(E4-$E$18)</f>
        <v>45.009999999999991</v>
      </c>
      <c r="AL4" s="56">
        <f t="shared" ref="AL4:AL17" si="16">0.3*$E$18</f>
        <v>45</v>
      </c>
      <c r="AM4" s="55">
        <f t="shared" ref="AM4:AM17" si="17">IF(AK4&lt;=AL4,0.25,0.125)</f>
        <v>0.125</v>
      </c>
      <c r="AN4" s="57"/>
      <c r="AO4" s="55" t="str">
        <f t="shared" ref="AO4:AO17" si="18">IF(G4="","",G4/$G$18)</f>
        <v/>
      </c>
      <c r="AP4" s="56">
        <f t="shared" si="1"/>
        <v>0</v>
      </c>
      <c r="AQ4" s="56">
        <f t="shared" si="2"/>
        <v>0</v>
      </c>
      <c r="AR4" s="55">
        <f t="shared" ref="AR4:AR17" si="19">IF(AP4&lt;=AQ4,0.25,0.125)</f>
        <v>0.25</v>
      </c>
      <c r="AS4" s="58"/>
      <c r="AT4" s="59">
        <f t="shared" si="3"/>
        <v>0</v>
      </c>
      <c r="AU4" s="59">
        <f t="shared" si="4"/>
        <v>1</v>
      </c>
      <c r="AV4" s="47"/>
      <c r="AW4" s="60">
        <f t="shared" ref="AW4:AW17" si="20">IF(C4="",1,IF(C$1="SIM",$C$18/C4,1))</f>
        <v>0.91666666666666674</v>
      </c>
      <c r="AX4" s="60">
        <f t="shared" ref="AX4:AX17" si="21">IF(E4="",1,IF(E$1="SIM",AJ4^AM4,1))</f>
        <v>1.0333458577476455</v>
      </c>
      <c r="AY4" s="60">
        <f t="shared" ref="AY4:AY17" si="22">IF(G4="",1,IF(G$1="SIM",AO4^AR4,1))</f>
        <v>1</v>
      </c>
      <c r="AZ4" s="60">
        <f t="shared" ref="AZ4:AZ17" si="23">IF(K4="",1,IF(K$1="SIM",$AU$18/AU4,1))</f>
        <v>1</v>
      </c>
      <c r="BA4" s="60">
        <f t="shared" ref="BA4:BA17" si="24">IF(M$1="SIM",$N$18/N4,1)</f>
        <v>1</v>
      </c>
      <c r="BB4" s="60">
        <f t="shared" ref="BB4:BB17" si="25">$P$18/P4</f>
        <v>1</v>
      </c>
      <c r="BC4" s="60">
        <f t="shared" ref="BC4:BC17" si="26">IF(Q$1="SIM",$R$18/R4,1)</f>
        <v>1</v>
      </c>
      <c r="BD4" s="60">
        <f t="shared" ref="BD4:BD17" si="27">IF(S$1="SIM",$T$18/T4,1)</f>
        <v>1</v>
      </c>
      <c r="BE4" s="60">
        <f t="shared" ref="BE4:BE17" si="28">IF(U$1="SIM",$V$18/V4,1)</f>
        <v>1</v>
      </c>
      <c r="BF4" s="60">
        <f t="shared" ref="BF4:BF17" si="29">IF(W$1="SIM",$X$18/X4,1)</f>
        <v>1</v>
      </c>
      <c r="BG4" s="60">
        <f t="shared" ref="BG4:BG17" si="30">IF(Y$1="SIM",$Z$18/Z4,1)</f>
        <v>0.89655172413793105</v>
      </c>
      <c r="BH4" s="60">
        <f t="shared" si="5"/>
        <v>1</v>
      </c>
      <c r="BI4" s="60">
        <f t="shared" ref="BI4:BI17" si="31">IF(AC$1="SIM",$AD$18/AD4,1)</f>
        <v>1</v>
      </c>
      <c r="BJ4" s="61">
        <f t="shared" si="6"/>
        <v>0.84656424855224333</v>
      </c>
      <c r="BK4" s="47"/>
      <c r="BL4" s="62">
        <f t="shared" si="7"/>
        <v>6055.8798355488416</v>
      </c>
      <c r="BM4" s="62">
        <f t="shared" si="8"/>
        <v>6055.8798355488416</v>
      </c>
      <c r="BN4" s="62">
        <f t="shared" si="9"/>
        <v>0.22213347177762738</v>
      </c>
      <c r="BO4" s="62">
        <f>IF(BM4="","",VLOOKUP($BU$16,Dicionários!$S$2:$T$31,2,0))</f>
        <v>2.0299999999999998</v>
      </c>
      <c r="BP4" s="62" t="str">
        <f t="shared" si="10"/>
        <v>ACEITO</v>
      </c>
      <c r="BQ4" s="47"/>
      <c r="BR4" s="117" t="s">
        <v>219</v>
      </c>
      <c r="BT4" s="128" t="s">
        <v>188</v>
      </c>
      <c r="BU4" s="133">
        <f>BL18</f>
        <v>6035.7552061520173</v>
      </c>
      <c r="BV4" s="64"/>
      <c r="BW4" s="92" t="s">
        <v>269</v>
      </c>
      <c r="BX4" s="89"/>
      <c r="BY4" s="40"/>
      <c r="BZ4" s="89"/>
      <c r="CA4" s="93"/>
      <c r="CB4" s="90"/>
      <c r="CC4" s="91"/>
      <c r="CE4" s="144" t="s">
        <v>218</v>
      </c>
      <c r="CF4" s="145"/>
      <c r="CG4" s="145"/>
      <c r="CH4" s="145"/>
      <c r="CI4" s="145"/>
      <c r="CJ4" s="146"/>
    </row>
    <row r="5" spans="1:88" s="63" customFormat="1" ht="28.5" customHeight="1" thickBot="1" x14ac:dyDescent="0.3">
      <c r="A5" s="116">
        <v>3</v>
      </c>
      <c r="B5" s="16" t="s">
        <v>278</v>
      </c>
      <c r="C5" s="14">
        <v>1.1000000000000001</v>
      </c>
      <c r="D5" s="49">
        <f t="shared" si="11"/>
        <v>1.1000000000000001</v>
      </c>
      <c r="E5" s="18">
        <v>67.66</v>
      </c>
      <c r="F5" s="66"/>
      <c r="G5" s="18"/>
      <c r="H5" s="66"/>
      <c r="I5" s="18"/>
      <c r="J5" s="66"/>
      <c r="K5" s="51" t="str">
        <f t="shared" si="0"/>
        <v/>
      </c>
      <c r="L5" s="67"/>
      <c r="M5" s="14"/>
      <c r="N5" s="53" t="str">
        <f>IF(M$1="SIM",IF(M5="","1",VLOOKUP(M5,Dicionários!$A$2:$B$22,2,0)),"1")</f>
        <v>1</v>
      </c>
      <c r="O5" s="14"/>
      <c r="P5" s="53" t="str">
        <f>IF(O$1="SIM",IF(O5="","1",VLOOKUP(O5,Dicionários!$C$2:$D$22,2,0)),"1")</f>
        <v>1</v>
      </c>
      <c r="Q5" s="14"/>
      <c r="R5" s="53" t="str">
        <f>IF(Q$1="SIM",IF(Q5="","1",VLOOKUP(Q5,Dicionários!$E$2:$F$22,2,0)),"1")</f>
        <v>1</v>
      </c>
      <c r="S5" s="14"/>
      <c r="T5" s="53" t="str">
        <f>IF(S$1="SIM",IF(S5="","1",VLOOKUP(S5,Dicionários!$G$2:$H$22,2,0)),"1")</f>
        <v>1</v>
      </c>
      <c r="U5" s="14"/>
      <c r="V5" s="53" t="str">
        <f>IF(U$1="SIM",IF(U5="","1",VLOOKUP(U5,Dicionários!$I$2:$J$22,2,0)),"1")</f>
        <v>1</v>
      </c>
      <c r="W5" s="17"/>
      <c r="X5" s="53" t="str">
        <f>IF(W$1="SIM",IF(W5="","1",VLOOKUP(W5,Dicionários!$K$2:$L$22,2,0)),"1")</f>
        <v>1</v>
      </c>
      <c r="Y5" s="17" t="s">
        <v>164</v>
      </c>
      <c r="Z5" s="53">
        <f>IF(Y$1="SIM",IF(Y5="","1",VLOOKUP(Y5,Dicionários!$M$2:$N$12,2,0)),"1")</f>
        <v>1.45</v>
      </c>
      <c r="AA5" s="17"/>
      <c r="AB5" s="65"/>
      <c r="AC5" s="17" t="s">
        <v>136</v>
      </c>
      <c r="AD5" s="53">
        <f>IF(AC$1="SIM",IF(AC5="","1",VLOOKUP(AC5,Dicionários!$O$2:$Q$22,$AD$2,0)),"1")</f>
        <v>1.04</v>
      </c>
      <c r="AE5" s="28">
        <v>620000</v>
      </c>
      <c r="AF5" s="54">
        <f t="shared" si="12"/>
        <v>9163.4643807271659</v>
      </c>
      <c r="AG5" s="27">
        <v>0.9</v>
      </c>
      <c r="AH5" s="54">
        <f t="shared" si="13"/>
        <v>8247.1179426544495</v>
      </c>
      <c r="AI5" s="47"/>
      <c r="AJ5" s="55">
        <f t="shared" si="14"/>
        <v>0.45106666666666667</v>
      </c>
      <c r="AK5" s="56">
        <f t="shared" si="15"/>
        <v>82.34</v>
      </c>
      <c r="AL5" s="56">
        <f t="shared" si="16"/>
        <v>45</v>
      </c>
      <c r="AM5" s="55">
        <f t="shared" si="17"/>
        <v>0.125</v>
      </c>
      <c r="AN5" s="57"/>
      <c r="AO5" s="55" t="str">
        <f t="shared" si="18"/>
        <v/>
      </c>
      <c r="AP5" s="56">
        <f t="shared" si="1"/>
        <v>0</v>
      </c>
      <c r="AQ5" s="56">
        <f t="shared" si="2"/>
        <v>0</v>
      </c>
      <c r="AR5" s="55">
        <f t="shared" si="19"/>
        <v>0.25</v>
      </c>
      <c r="AS5" s="58"/>
      <c r="AT5" s="59">
        <f t="shared" si="3"/>
        <v>0</v>
      </c>
      <c r="AU5" s="59">
        <f t="shared" si="4"/>
        <v>1</v>
      </c>
      <c r="AV5" s="47"/>
      <c r="AW5" s="60">
        <f t="shared" si="20"/>
        <v>1</v>
      </c>
      <c r="AX5" s="60">
        <f t="shared" si="21"/>
        <v>0.90527409263814707</v>
      </c>
      <c r="AY5" s="60">
        <f t="shared" si="22"/>
        <v>1</v>
      </c>
      <c r="AZ5" s="60">
        <f t="shared" si="23"/>
        <v>1</v>
      </c>
      <c r="BA5" s="60">
        <f t="shared" si="24"/>
        <v>1</v>
      </c>
      <c r="BB5" s="60">
        <f t="shared" si="25"/>
        <v>1</v>
      </c>
      <c r="BC5" s="60">
        <f t="shared" si="26"/>
        <v>1</v>
      </c>
      <c r="BD5" s="60">
        <f t="shared" si="27"/>
        <v>1</v>
      </c>
      <c r="BE5" s="60">
        <f t="shared" si="28"/>
        <v>1</v>
      </c>
      <c r="BF5" s="60">
        <f t="shared" si="29"/>
        <v>1</v>
      </c>
      <c r="BG5" s="60">
        <f t="shared" si="30"/>
        <v>0.89655172413793105</v>
      </c>
      <c r="BH5" s="60">
        <f t="shared" si="5"/>
        <v>1</v>
      </c>
      <c r="BI5" s="60">
        <f t="shared" si="31"/>
        <v>1.0403846153846155</v>
      </c>
      <c r="BJ5" s="61">
        <f t="shared" si="6"/>
        <v>0.84221043216069358</v>
      </c>
      <c r="BK5" s="47"/>
      <c r="BL5" s="62">
        <f t="shared" si="7"/>
        <v>6945.8087665632138</v>
      </c>
      <c r="BM5" s="62">
        <f t="shared" si="8"/>
        <v>6945.8087665632138</v>
      </c>
      <c r="BN5" s="62">
        <f t="shared" si="9"/>
        <v>1.3022986175947449</v>
      </c>
      <c r="BO5" s="62">
        <f>IF(BM5="","",VLOOKUP($BU$16,Dicionários!$S$2:$T$31,2,0))</f>
        <v>2.0299999999999998</v>
      </c>
      <c r="BP5" s="62" t="str">
        <f t="shared" si="10"/>
        <v>ACEITO</v>
      </c>
      <c r="BQ5" s="47"/>
      <c r="BR5" s="117" t="s">
        <v>219</v>
      </c>
      <c r="BT5" s="128" t="s">
        <v>199</v>
      </c>
      <c r="BU5" s="132">
        <f>BU3-1</f>
        <v>14</v>
      </c>
      <c r="BV5" s="64"/>
      <c r="BW5" s="94" t="s">
        <v>212</v>
      </c>
      <c r="BX5" s="89"/>
      <c r="BY5" s="40"/>
      <c r="BZ5" s="89"/>
      <c r="CA5" s="93"/>
      <c r="CB5" s="90"/>
      <c r="CC5" s="91"/>
      <c r="CE5" s="144"/>
      <c r="CF5" s="145"/>
      <c r="CG5" s="145"/>
      <c r="CH5" s="145"/>
      <c r="CI5" s="145"/>
      <c r="CJ5" s="146"/>
    </row>
    <row r="6" spans="1:88" s="63" customFormat="1" ht="28.5" customHeight="1" thickBot="1" x14ac:dyDescent="0.3">
      <c r="A6" s="118">
        <v>4</v>
      </c>
      <c r="B6" s="16" t="s">
        <v>278</v>
      </c>
      <c r="C6" s="14">
        <v>1.1000000000000001</v>
      </c>
      <c r="D6" s="49">
        <f t="shared" si="11"/>
        <v>1.1000000000000001</v>
      </c>
      <c r="E6" s="18">
        <v>99.83</v>
      </c>
      <c r="F6" s="66"/>
      <c r="G6" s="18"/>
      <c r="H6" s="66"/>
      <c r="I6" s="18"/>
      <c r="J6" s="66"/>
      <c r="K6" s="51" t="str">
        <f t="shared" si="0"/>
        <v/>
      </c>
      <c r="L6" s="67"/>
      <c r="M6" s="14"/>
      <c r="N6" s="53" t="str">
        <f>IF(M$1="SIM",IF(M6="","1",VLOOKUP(M6,Dicionários!$A$2:$B$22,2,0)),"1")</f>
        <v>1</v>
      </c>
      <c r="O6" s="14"/>
      <c r="P6" s="53" t="str">
        <f>IF(O$1="SIM",IF(O6="","1",VLOOKUP(O6,Dicionários!$C$2:$D$22,2,0)),"1")</f>
        <v>1</v>
      </c>
      <c r="Q6" s="14"/>
      <c r="R6" s="53" t="str">
        <f>IF(Q$1="SIM",IF(Q6="","1",VLOOKUP(Q6,Dicionários!$E$2:$F$22,2,0)),"1")</f>
        <v>1</v>
      </c>
      <c r="S6" s="14"/>
      <c r="T6" s="53" t="str">
        <f>IF(S$1="SIM",IF(S6="","1",VLOOKUP(S6,Dicionários!$G$2:$H$22,2,0)),"1")</f>
        <v>1</v>
      </c>
      <c r="U6" s="14"/>
      <c r="V6" s="53" t="str">
        <f>IF(U$1="SIM",IF(U6="","1",VLOOKUP(U6,Dicionários!$I$2:$J$22,2,0)),"1")</f>
        <v>1</v>
      </c>
      <c r="W6" s="17"/>
      <c r="X6" s="53" t="str">
        <f>IF(W$1="SIM",IF(W6="","1",VLOOKUP(W6,Dicionários!$K$2:$L$22,2,0)),"1")</f>
        <v>1</v>
      </c>
      <c r="Y6" s="17" t="s">
        <v>164</v>
      </c>
      <c r="Z6" s="53">
        <f>IF(Y$1="SIM",IF(Y6="","1",VLOOKUP(Y6,Dicionários!$M$2:$N$12,2,0)),"1")</f>
        <v>1.45</v>
      </c>
      <c r="AA6" s="17"/>
      <c r="AB6" s="65"/>
      <c r="AC6" s="17" t="s">
        <v>138</v>
      </c>
      <c r="AD6" s="53">
        <f>IF(AC$1="SIM",IF(AC6="","1",VLOOKUP(AC6,Dicionários!$O$2:$Q$22,$AD$2,0)),"1")</f>
        <v>1.0820000000000001</v>
      </c>
      <c r="AE6" s="28">
        <v>672500</v>
      </c>
      <c r="AF6" s="54">
        <f t="shared" si="12"/>
        <v>6736.4519683461886</v>
      </c>
      <c r="AG6" s="27">
        <v>1</v>
      </c>
      <c r="AH6" s="54">
        <f t="shared" si="13"/>
        <v>6736.4519683461886</v>
      </c>
      <c r="AI6" s="47"/>
      <c r="AJ6" s="55">
        <f t="shared" si="14"/>
        <v>0.66553333333333331</v>
      </c>
      <c r="AK6" s="56">
        <f t="shared" si="15"/>
        <v>50.17</v>
      </c>
      <c r="AL6" s="56">
        <f t="shared" si="16"/>
        <v>45</v>
      </c>
      <c r="AM6" s="55">
        <f t="shared" si="17"/>
        <v>0.125</v>
      </c>
      <c r="AN6" s="57"/>
      <c r="AO6" s="55" t="str">
        <f t="shared" si="18"/>
        <v/>
      </c>
      <c r="AP6" s="56">
        <f t="shared" si="1"/>
        <v>0</v>
      </c>
      <c r="AQ6" s="56">
        <f t="shared" si="2"/>
        <v>0</v>
      </c>
      <c r="AR6" s="55">
        <f t="shared" si="19"/>
        <v>0.25</v>
      </c>
      <c r="AS6" s="58"/>
      <c r="AT6" s="59">
        <f t="shared" si="3"/>
        <v>0</v>
      </c>
      <c r="AU6" s="59">
        <f t="shared" si="4"/>
        <v>1</v>
      </c>
      <c r="AV6" s="47"/>
      <c r="AW6" s="60">
        <f t="shared" si="20"/>
        <v>1</v>
      </c>
      <c r="AX6" s="60">
        <f t="shared" si="21"/>
        <v>0.95037767634534598</v>
      </c>
      <c r="AY6" s="60">
        <f t="shared" si="22"/>
        <v>1</v>
      </c>
      <c r="AZ6" s="60">
        <f>IF(K6="",1,IF(K$1="SIM",$AU$18/AU6,1))</f>
        <v>1</v>
      </c>
      <c r="BA6" s="60">
        <f t="shared" si="24"/>
        <v>1</v>
      </c>
      <c r="BB6" s="60">
        <f t="shared" si="25"/>
        <v>1</v>
      </c>
      <c r="BC6" s="60">
        <f t="shared" si="26"/>
        <v>1</v>
      </c>
      <c r="BD6" s="60">
        <f t="shared" si="27"/>
        <v>1</v>
      </c>
      <c r="BE6" s="60">
        <f t="shared" si="28"/>
        <v>1</v>
      </c>
      <c r="BF6" s="60">
        <f t="shared" si="29"/>
        <v>1</v>
      </c>
      <c r="BG6" s="60">
        <f t="shared" si="30"/>
        <v>0.89655172413793105</v>
      </c>
      <c r="BH6" s="60">
        <f t="shared" si="5"/>
        <v>1</v>
      </c>
      <c r="BI6" s="60">
        <f t="shared" si="31"/>
        <v>1</v>
      </c>
      <c r="BJ6" s="61">
        <f t="shared" si="6"/>
        <v>0.84692940048327703</v>
      </c>
      <c r="BK6" s="47"/>
      <c r="BL6" s="62">
        <f t="shared" si="7"/>
        <v>5705.2992269358292</v>
      </c>
      <c r="BM6" s="62">
        <f t="shared" si="8"/>
        <v>5705.2992269358292</v>
      </c>
      <c r="BN6" s="62">
        <f t="shared" si="9"/>
        <v>0.20338922000798507</v>
      </c>
      <c r="BO6" s="62">
        <f>IF(BM6="","",VLOOKUP($BU$16,Dicionários!$S$2:$T$31,2,0))</f>
        <v>2.0299999999999998</v>
      </c>
      <c r="BP6" s="62" t="str">
        <f t="shared" si="10"/>
        <v>ACEITO</v>
      </c>
      <c r="BQ6" s="47"/>
      <c r="BR6" s="117" t="s">
        <v>219</v>
      </c>
      <c r="BT6" s="128" t="s">
        <v>189</v>
      </c>
      <c r="BU6" s="133">
        <f>LARGE($BL$3:$BL$17,1)</f>
        <v>8153.2888506208265</v>
      </c>
      <c r="BV6" s="64"/>
      <c r="BW6" s="158" t="s">
        <v>213</v>
      </c>
      <c r="BX6" s="159"/>
      <c r="BY6" s="159"/>
      <c r="BZ6" s="160">
        <f>BU14</f>
        <v>5872.8680027313394</v>
      </c>
      <c r="CA6" s="160"/>
      <c r="CB6" s="90"/>
      <c r="CC6" s="91"/>
      <c r="CE6" s="144"/>
      <c r="CF6" s="145"/>
      <c r="CG6" s="145"/>
      <c r="CH6" s="145"/>
      <c r="CI6" s="145"/>
      <c r="CJ6" s="146"/>
    </row>
    <row r="7" spans="1:88" s="63" customFormat="1" ht="28.5" customHeight="1" thickBot="1" x14ac:dyDescent="0.3">
      <c r="A7" s="116">
        <v>5</v>
      </c>
      <c r="B7" s="16" t="s">
        <v>278</v>
      </c>
      <c r="C7" s="14">
        <v>1.2</v>
      </c>
      <c r="D7" s="49">
        <f t="shared" si="11"/>
        <v>1.2</v>
      </c>
      <c r="E7" s="18">
        <v>99.83</v>
      </c>
      <c r="F7" s="66"/>
      <c r="G7" s="18"/>
      <c r="H7" s="66"/>
      <c r="I7" s="18"/>
      <c r="J7" s="66"/>
      <c r="K7" s="51" t="str">
        <f t="shared" si="0"/>
        <v/>
      </c>
      <c r="L7" s="67"/>
      <c r="M7" s="14"/>
      <c r="N7" s="53" t="str">
        <f>IF(M$1="SIM",IF(M7="","1",VLOOKUP(M7,Dicionários!$A$2:$B$22,2,0)),"1")</f>
        <v>1</v>
      </c>
      <c r="O7" s="14"/>
      <c r="P7" s="53" t="str">
        <f>IF(O$1="SIM",IF(O7="","1",VLOOKUP(O7,Dicionários!$C$2:$D$22,2,0)),"1")</f>
        <v>1</v>
      </c>
      <c r="Q7" s="14"/>
      <c r="R7" s="53" t="str">
        <f>IF(Q$1="SIM",IF(Q7="","1",VLOOKUP(Q7,Dicionários!$E$2:$F$22,2,0)),"1")</f>
        <v>1</v>
      </c>
      <c r="S7" s="14"/>
      <c r="T7" s="53" t="str">
        <f>IF(S$1="SIM",IF(S7="","1",VLOOKUP(S7,Dicionários!$G$2:$H$22,2,0)),"1")</f>
        <v>1</v>
      </c>
      <c r="U7" s="14"/>
      <c r="V7" s="53" t="str">
        <f>IF(U$1="SIM",IF(U7="","1",VLOOKUP(U7,Dicionários!$I$2:$J$22,2,0)),"1")</f>
        <v>1</v>
      </c>
      <c r="W7" s="17"/>
      <c r="X7" s="53" t="str">
        <f>IF(W$1="SIM",IF(W7="","1",VLOOKUP(W7,Dicionários!$K$2:$L$22,2,0)),"1")</f>
        <v>1</v>
      </c>
      <c r="Y7" s="17" t="s">
        <v>164</v>
      </c>
      <c r="Z7" s="53">
        <f>IF(Y$1="SIM",IF(Y7="","1",VLOOKUP(Y7,Dicionários!$M$2:$N$12,2,0)),"1")</f>
        <v>1.45</v>
      </c>
      <c r="AA7" s="17"/>
      <c r="AB7" s="65"/>
      <c r="AC7" s="17" t="s">
        <v>135</v>
      </c>
      <c r="AD7" s="53">
        <f>IF(AC$1="SIM",IF(AC7="","1",VLOOKUP(AC7,Dicionários!$O$2:$Q$22,$AD$2,0)),"1")</f>
        <v>1.02</v>
      </c>
      <c r="AE7" s="28">
        <v>830000</v>
      </c>
      <c r="AF7" s="54">
        <f t="shared" si="12"/>
        <v>8314.1340278473399</v>
      </c>
      <c r="AG7" s="27">
        <v>0.9</v>
      </c>
      <c r="AH7" s="54">
        <f t="shared" si="13"/>
        <v>7482.7206250626059</v>
      </c>
      <c r="AI7" s="47"/>
      <c r="AJ7" s="55">
        <f t="shared" si="14"/>
        <v>0.66553333333333331</v>
      </c>
      <c r="AK7" s="56">
        <f t="shared" si="15"/>
        <v>50.17</v>
      </c>
      <c r="AL7" s="56">
        <f t="shared" si="16"/>
        <v>45</v>
      </c>
      <c r="AM7" s="55">
        <f t="shared" si="17"/>
        <v>0.125</v>
      </c>
      <c r="AN7" s="57"/>
      <c r="AO7" s="55" t="str">
        <f t="shared" si="18"/>
        <v/>
      </c>
      <c r="AP7" s="56">
        <f t="shared" si="1"/>
        <v>0</v>
      </c>
      <c r="AQ7" s="56">
        <f t="shared" si="2"/>
        <v>0</v>
      </c>
      <c r="AR7" s="55">
        <f t="shared" si="19"/>
        <v>0.25</v>
      </c>
      <c r="AS7" s="58"/>
      <c r="AT7" s="59">
        <f t="shared" si="3"/>
        <v>0</v>
      </c>
      <c r="AU7" s="59">
        <f t="shared" si="4"/>
        <v>1</v>
      </c>
      <c r="AV7" s="47"/>
      <c r="AW7" s="60">
        <f t="shared" si="20"/>
        <v>0.91666666666666674</v>
      </c>
      <c r="AX7" s="60">
        <f t="shared" si="21"/>
        <v>0.95037767634534598</v>
      </c>
      <c r="AY7" s="60">
        <f t="shared" si="22"/>
        <v>1</v>
      </c>
      <c r="AZ7" s="60">
        <f t="shared" si="23"/>
        <v>1</v>
      </c>
      <c r="BA7" s="60">
        <f t="shared" si="24"/>
        <v>1</v>
      </c>
      <c r="BB7" s="60">
        <f t="shared" si="25"/>
        <v>1</v>
      </c>
      <c r="BC7" s="60">
        <f t="shared" si="26"/>
        <v>1</v>
      </c>
      <c r="BD7" s="60">
        <f t="shared" si="27"/>
        <v>1</v>
      </c>
      <c r="BE7" s="60">
        <f t="shared" si="28"/>
        <v>1</v>
      </c>
      <c r="BF7" s="60">
        <f t="shared" si="29"/>
        <v>1</v>
      </c>
      <c r="BG7" s="60">
        <f t="shared" si="30"/>
        <v>0.89655172413793105</v>
      </c>
      <c r="BH7" s="60">
        <f t="shared" si="5"/>
        <v>1</v>
      </c>
      <c r="BI7" s="60">
        <f t="shared" si="31"/>
        <v>1.0607843137254902</v>
      </c>
      <c r="BJ7" s="61">
        <f t="shared" si="6"/>
        <v>0.82438038087543397</v>
      </c>
      <c r="BK7" s="47"/>
      <c r="BL7" s="62">
        <f t="shared" si="7"/>
        <v>6168.6080788735762</v>
      </c>
      <c r="BM7" s="62">
        <f t="shared" si="8"/>
        <v>6168.6080788735762</v>
      </c>
      <c r="BN7" s="62">
        <f t="shared" si="9"/>
        <v>0.35895913857528655</v>
      </c>
      <c r="BO7" s="62">
        <f>IF(BM7="","",VLOOKUP($BU$16,Dicionários!$S$2:$T$31,2,0))</f>
        <v>2.0299999999999998</v>
      </c>
      <c r="BP7" s="62" t="str">
        <f t="shared" si="10"/>
        <v>ACEITO</v>
      </c>
      <c r="BQ7" s="47"/>
      <c r="BR7" s="117" t="s">
        <v>219</v>
      </c>
      <c r="BT7" s="128" t="s">
        <v>190</v>
      </c>
      <c r="BU7" s="133">
        <f>SMALL($BL$3:$BL$17,1)</f>
        <v>4615.6655924784418</v>
      </c>
      <c r="BV7" s="64"/>
      <c r="BW7" s="158" t="s">
        <v>208</v>
      </c>
      <c r="BX7" s="159"/>
      <c r="BY7" s="159"/>
      <c r="BZ7" s="160">
        <f>BU18</f>
        <v>4991.9378023216386</v>
      </c>
      <c r="CA7" s="160"/>
      <c r="CB7" s="90"/>
      <c r="CC7" s="91"/>
      <c r="CE7" s="144"/>
      <c r="CF7" s="145"/>
      <c r="CG7" s="145"/>
      <c r="CH7" s="145"/>
      <c r="CI7" s="145"/>
      <c r="CJ7" s="146"/>
    </row>
    <row r="8" spans="1:88" s="63" customFormat="1" ht="28.5" customHeight="1" thickBot="1" x14ac:dyDescent="0.3">
      <c r="A8" s="118">
        <v>6</v>
      </c>
      <c r="B8" s="16" t="s">
        <v>278</v>
      </c>
      <c r="C8" s="14">
        <v>1.2</v>
      </c>
      <c r="D8" s="49">
        <f t="shared" si="11"/>
        <v>1.2</v>
      </c>
      <c r="E8" s="18">
        <v>75</v>
      </c>
      <c r="F8" s="66"/>
      <c r="G8" s="18"/>
      <c r="H8" s="66"/>
      <c r="I8" s="18"/>
      <c r="J8" s="66"/>
      <c r="K8" s="51" t="str">
        <f t="shared" si="0"/>
        <v/>
      </c>
      <c r="L8" s="67"/>
      <c r="M8" s="14"/>
      <c r="N8" s="53" t="str">
        <f>IF(M$1="SIM",IF(M8="","1",VLOOKUP(M8,Dicionários!$A$2:$B$22,2,0)),"1")</f>
        <v>1</v>
      </c>
      <c r="O8" s="14"/>
      <c r="P8" s="53" t="str">
        <f>IF(O$1="SIM",IF(O8="","1",VLOOKUP(O8,Dicionários!$C$2:$D$22,2,0)),"1")</f>
        <v>1</v>
      </c>
      <c r="Q8" s="14"/>
      <c r="R8" s="53" t="str">
        <f>IF(Q$1="SIM",IF(Q8="","1",VLOOKUP(Q8,Dicionários!$E$2:$F$22,2,0)),"1")</f>
        <v>1</v>
      </c>
      <c r="S8" s="14"/>
      <c r="T8" s="53" t="str">
        <f>IF(S$1="SIM",IF(S8="","1",VLOOKUP(S8,Dicionários!$G$2:$H$22,2,0)),"1")</f>
        <v>1</v>
      </c>
      <c r="U8" s="14"/>
      <c r="V8" s="53" t="str">
        <f>IF(U$1="SIM",IF(U8="","1",VLOOKUP(U8,Dicionários!$I$2:$J$22,2,0)),"1")</f>
        <v>1</v>
      </c>
      <c r="W8" s="17"/>
      <c r="X8" s="53" t="str">
        <f>IF(W$1="SIM",IF(W8="","1",VLOOKUP(W8,Dicionários!$K$2:$L$22,2,0)),"1")</f>
        <v>1</v>
      </c>
      <c r="Y8" s="17" t="s">
        <v>164</v>
      </c>
      <c r="Z8" s="53">
        <f>IF(Y$1="SIM",IF(Y8="","1",VLOOKUP(Y8,Dicionários!$M$2:$N$12,2,0)),"1")</f>
        <v>1.45</v>
      </c>
      <c r="AA8" s="17"/>
      <c r="AB8" s="65"/>
      <c r="AC8" s="17" t="s">
        <v>135</v>
      </c>
      <c r="AD8" s="53">
        <f>IF(AC$1="SIM",IF(AC8="","1",VLOOKUP(AC8,Dicionários!$O$2:$Q$22,$AD$2,0)),"1")</f>
        <v>1.02</v>
      </c>
      <c r="AE8" s="28">
        <v>720000</v>
      </c>
      <c r="AF8" s="54">
        <f t="shared" si="12"/>
        <v>9600</v>
      </c>
      <c r="AG8" s="27">
        <v>0.9</v>
      </c>
      <c r="AH8" s="54">
        <f t="shared" si="13"/>
        <v>8640</v>
      </c>
      <c r="AI8" s="47"/>
      <c r="AJ8" s="55">
        <f t="shared" si="14"/>
        <v>0.5</v>
      </c>
      <c r="AK8" s="56">
        <f t="shared" si="15"/>
        <v>75</v>
      </c>
      <c r="AL8" s="56">
        <f t="shared" si="16"/>
        <v>45</v>
      </c>
      <c r="AM8" s="55">
        <f t="shared" si="17"/>
        <v>0.125</v>
      </c>
      <c r="AN8" s="57"/>
      <c r="AO8" s="55" t="str">
        <f t="shared" si="18"/>
        <v/>
      </c>
      <c r="AP8" s="56">
        <f t="shared" si="1"/>
        <v>0</v>
      </c>
      <c r="AQ8" s="56">
        <f t="shared" si="2"/>
        <v>0</v>
      </c>
      <c r="AR8" s="55">
        <f t="shared" si="19"/>
        <v>0.25</v>
      </c>
      <c r="AS8" s="58"/>
      <c r="AT8" s="59">
        <f t="shared" si="3"/>
        <v>0</v>
      </c>
      <c r="AU8" s="59">
        <f t="shared" si="4"/>
        <v>1</v>
      </c>
      <c r="AV8" s="47"/>
      <c r="AW8" s="60">
        <f t="shared" si="20"/>
        <v>0.91666666666666674</v>
      </c>
      <c r="AX8" s="60">
        <f t="shared" si="21"/>
        <v>0.91700404320467122</v>
      </c>
      <c r="AY8" s="60">
        <f t="shared" si="22"/>
        <v>1</v>
      </c>
      <c r="AZ8" s="60">
        <f t="shared" si="23"/>
        <v>1</v>
      </c>
      <c r="BA8" s="60">
        <f t="shared" si="24"/>
        <v>1</v>
      </c>
      <c r="BB8" s="60">
        <f t="shared" si="25"/>
        <v>1</v>
      </c>
      <c r="BC8" s="60">
        <f t="shared" si="26"/>
        <v>1</v>
      </c>
      <c r="BD8" s="60">
        <f t="shared" si="27"/>
        <v>1</v>
      </c>
      <c r="BE8" s="60">
        <f t="shared" si="28"/>
        <v>1</v>
      </c>
      <c r="BF8" s="60">
        <f t="shared" si="29"/>
        <v>1</v>
      </c>
      <c r="BG8" s="60">
        <f t="shared" si="30"/>
        <v>0.89655172413793105</v>
      </c>
      <c r="BH8" s="60">
        <f t="shared" si="5"/>
        <v>1</v>
      </c>
      <c r="BI8" s="60">
        <f t="shared" si="31"/>
        <v>1.0607843137254902</v>
      </c>
      <c r="BJ8" s="61">
        <f t="shared" si="6"/>
        <v>0.79100674773475921</v>
      </c>
      <c r="BK8" s="47"/>
      <c r="BL8" s="62">
        <f t="shared" si="7"/>
        <v>6834.2983004283196</v>
      </c>
      <c r="BM8" s="62">
        <f t="shared" si="8"/>
        <v>6834.2983004283196</v>
      </c>
      <c r="BN8" s="62">
        <f t="shared" si="9"/>
        <v>1.1669510468899247</v>
      </c>
      <c r="BO8" s="62">
        <f>IF(BM8="","",VLOOKUP($BU$16,Dicionários!$S$2:$T$31,2,0))</f>
        <v>2.0299999999999998</v>
      </c>
      <c r="BP8" s="62" t="str">
        <f t="shared" si="10"/>
        <v>ACEITO</v>
      </c>
      <c r="BQ8" s="47"/>
      <c r="BR8" s="117" t="s">
        <v>219</v>
      </c>
      <c r="BT8" s="128" t="s">
        <v>206</v>
      </c>
      <c r="BU8" s="133">
        <f>1.15*$BU$4</f>
        <v>6941.1184870748193</v>
      </c>
      <c r="BV8" s="64"/>
      <c r="BW8" s="158" t="s">
        <v>209</v>
      </c>
      <c r="BX8" s="159"/>
      <c r="BY8" s="159"/>
      <c r="BZ8" s="160">
        <f>BU17</f>
        <v>6753.7982031410402</v>
      </c>
      <c r="CA8" s="160"/>
      <c r="CB8" s="90"/>
      <c r="CC8" s="91"/>
      <c r="CE8" s="144"/>
      <c r="CF8" s="145"/>
      <c r="CG8" s="145"/>
      <c r="CH8" s="145"/>
      <c r="CI8" s="145"/>
      <c r="CJ8" s="146"/>
    </row>
    <row r="9" spans="1:88" s="63" customFormat="1" ht="28.5" customHeight="1" thickBot="1" x14ac:dyDescent="0.3">
      <c r="A9" s="116">
        <v>7</v>
      </c>
      <c r="B9" s="16" t="s">
        <v>278</v>
      </c>
      <c r="C9" s="14">
        <v>1.1000000000000001</v>
      </c>
      <c r="D9" s="49">
        <f t="shared" si="11"/>
        <v>1.1000000000000001</v>
      </c>
      <c r="E9" s="18">
        <v>106.72499999999999</v>
      </c>
      <c r="F9" s="66"/>
      <c r="G9" s="18"/>
      <c r="H9" s="66"/>
      <c r="I9" s="18"/>
      <c r="J9" s="66"/>
      <c r="K9" s="51" t="str">
        <f t="shared" si="0"/>
        <v/>
      </c>
      <c r="L9" s="67"/>
      <c r="M9" s="14"/>
      <c r="N9" s="53" t="str">
        <f>IF(M$1="SIM",IF(M9="","1",VLOOKUP(M9,Dicionários!$A$2:$B$22,2,0)),"1")</f>
        <v>1</v>
      </c>
      <c r="O9" s="14"/>
      <c r="P9" s="53" t="str">
        <f>IF(O$1="SIM",IF(O9="","1",VLOOKUP(O9,Dicionários!$C$2:$D$22,2,0)),"1")</f>
        <v>1</v>
      </c>
      <c r="Q9" s="14"/>
      <c r="R9" s="53" t="str">
        <f>IF(Q$1="SIM",IF(Q9="","1",VLOOKUP(Q9,Dicionários!$E$2:$F$22,2,0)),"1")</f>
        <v>1</v>
      </c>
      <c r="S9" s="14"/>
      <c r="T9" s="53" t="str">
        <f>IF(S$1="SIM",IF(S9="","1",VLOOKUP(S9,Dicionários!$G$2:$H$22,2,0)),"1")</f>
        <v>1</v>
      </c>
      <c r="U9" s="14"/>
      <c r="V9" s="53" t="str">
        <f>IF(U$1="SIM",IF(U9="","1",VLOOKUP(U9,Dicionários!$I$2:$J$22,2,0)),"1")</f>
        <v>1</v>
      </c>
      <c r="W9" s="17"/>
      <c r="X9" s="53" t="str">
        <f>IF(W$1="SIM",IF(W9="","1",VLOOKUP(W9,Dicionários!$K$2:$L$22,2,0)),"1")</f>
        <v>1</v>
      </c>
      <c r="Y9" s="17" t="s">
        <v>279</v>
      </c>
      <c r="Z9" s="53">
        <f>IF(Y$1="SIM",IF(Y9="","1",VLOOKUP(Y9,Dicionários!$M$2:$N$12,2,0)),"1")</f>
        <v>1.3</v>
      </c>
      <c r="AA9" s="17"/>
      <c r="AB9" s="65"/>
      <c r="AC9" s="17" t="s">
        <v>135</v>
      </c>
      <c r="AD9" s="53">
        <f>IF(AC$1="SIM",IF(AC9="","1",VLOOKUP(AC9,Dicionários!$O$2:$Q$22,$AD$2,0)),"1")</f>
        <v>1.02</v>
      </c>
      <c r="AE9" s="28">
        <v>790000</v>
      </c>
      <c r="AF9" s="54">
        <f t="shared" si="12"/>
        <v>7402.2019208245492</v>
      </c>
      <c r="AG9" s="27">
        <v>0.9</v>
      </c>
      <c r="AH9" s="54">
        <f t="shared" si="13"/>
        <v>6661.9817287420947</v>
      </c>
      <c r="AI9" s="47"/>
      <c r="AJ9" s="55">
        <f t="shared" si="14"/>
        <v>0.71149999999999991</v>
      </c>
      <c r="AK9" s="56">
        <f t="shared" si="15"/>
        <v>43.275000000000006</v>
      </c>
      <c r="AL9" s="56">
        <f t="shared" si="16"/>
        <v>45</v>
      </c>
      <c r="AM9" s="55">
        <f t="shared" si="17"/>
        <v>0.25</v>
      </c>
      <c r="AN9" s="57"/>
      <c r="AO9" s="55" t="str">
        <f t="shared" si="18"/>
        <v/>
      </c>
      <c r="AP9" s="56">
        <f t="shared" si="1"/>
        <v>0</v>
      </c>
      <c r="AQ9" s="56">
        <f t="shared" si="2"/>
        <v>0</v>
      </c>
      <c r="AR9" s="55">
        <f t="shared" si="19"/>
        <v>0.25</v>
      </c>
      <c r="AS9" s="58"/>
      <c r="AT9" s="59">
        <f t="shared" si="3"/>
        <v>0</v>
      </c>
      <c r="AU9" s="59">
        <f t="shared" si="4"/>
        <v>1</v>
      </c>
      <c r="AV9" s="47"/>
      <c r="AW9" s="60">
        <f t="shared" si="20"/>
        <v>1</v>
      </c>
      <c r="AX9" s="60">
        <f t="shared" si="21"/>
        <v>0.91842506169053018</v>
      </c>
      <c r="AY9" s="60">
        <f t="shared" si="22"/>
        <v>1</v>
      </c>
      <c r="AZ9" s="60">
        <f t="shared" si="23"/>
        <v>1</v>
      </c>
      <c r="BA9" s="60">
        <f t="shared" si="24"/>
        <v>1</v>
      </c>
      <c r="BB9" s="60">
        <f t="shared" si="25"/>
        <v>1</v>
      </c>
      <c r="BC9" s="60">
        <f t="shared" si="26"/>
        <v>1</v>
      </c>
      <c r="BD9" s="60">
        <f t="shared" si="27"/>
        <v>1</v>
      </c>
      <c r="BE9" s="60">
        <f t="shared" si="28"/>
        <v>1</v>
      </c>
      <c r="BF9" s="60">
        <f t="shared" si="29"/>
        <v>1</v>
      </c>
      <c r="BG9" s="60">
        <f t="shared" si="30"/>
        <v>1</v>
      </c>
      <c r="BH9" s="60">
        <f t="shared" si="5"/>
        <v>1</v>
      </c>
      <c r="BI9" s="60">
        <f t="shared" si="31"/>
        <v>1.0607843137254902</v>
      </c>
      <c r="BJ9" s="61">
        <f t="shared" si="6"/>
        <v>0.97920937541602038</v>
      </c>
      <c r="BK9" s="47"/>
      <c r="BL9" s="62">
        <f t="shared" si="7"/>
        <v>6523.4749676344863</v>
      </c>
      <c r="BM9" s="62">
        <f t="shared" si="8"/>
        <v>6523.4749676344863</v>
      </c>
      <c r="BN9" s="62">
        <f t="shared" si="9"/>
        <v>0.78968436986671064</v>
      </c>
      <c r="BO9" s="62">
        <f>IF(BM9="","",VLOOKUP($BU$16,Dicionários!$S$2:$T$31,2,0))</f>
        <v>2.0299999999999998</v>
      </c>
      <c r="BP9" s="62" t="str">
        <f t="shared" si="10"/>
        <v>ACEITO</v>
      </c>
      <c r="BQ9" s="47"/>
      <c r="BR9" s="117" t="s">
        <v>219</v>
      </c>
      <c r="BT9" s="128" t="s">
        <v>207</v>
      </c>
      <c r="BU9" s="133">
        <f>0.85*$BU$4</f>
        <v>5130.3919252292144</v>
      </c>
      <c r="BW9" s="158" t="s">
        <v>210</v>
      </c>
      <c r="BX9" s="159"/>
      <c r="BY9" s="159"/>
      <c r="BZ9" s="160">
        <f>BU20</f>
        <v>5550.3646510057579</v>
      </c>
      <c r="CA9" s="160"/>
      <c r="CB9" s="90"/>
      <c r="CC9" s="91"/>
      <c r="CE9" s="144"/>
      <c r="CF9" s="145"/>
      <c r="CG9" s="145"/>
      <c r="CH9" s="145"/>
      <c r="CI9" s="145"/>
      <c r="CJ9" s="146"/>
    </row>
    <row r="10" spans="1:88" s="63" customFormat="1" ht="28.5" customHeight="1" thickBot="1" x14ac:dyDescent="0.3">
      <c r="A10" s="118">
        <v>8</v>
      </c>
      <c r="B10" s="16" t="s">
        <v>278</v>
      </c>
      <c r="C10" s="14">
        <v>1.2</v>
      </c>
      <c r="D10" s="49">
        <f t="shared" si="11"/>
        <v>1.2</v>
      </c>
      <c r="E10" s="18">
        <v>127.25</v>
      </c>
      <c r="F10" s="66"/>
      <c r="G10" s="18"/>
      <c r="H10" s="66"/>
      <c r="I10" s="18"/>
      <c r="J10" s="66"/>
      <c r="K10" s="51" t="str">
        <f t="shared" si="0"/>
        <v/>
      </c>
      <c r="L10" s="67"/>
      <c r="M10" s="14"/>
      <c r="N10" s="53" t="str">
        <f>IF(M$1="SIM",IF(M10="","1",VLOOKUP(M10,Dicionários!$A$2:$B$22,2,0)),"1")</f>
        <v>1</v>
      </c>
      <c r="O10" s="14"/>
      <c r="P10" s="53" t="str">
        <f>IF(O$1="SIM",IF(O10="","1",VLOOKUP(O10,Dicionários!$C$2:$D$22,2,0)),"1")</f>
        <v>1</v>
      </c>
      <c r="Q10" s="14"/>
      <c r="R10" s="53" t="str">
        <f>IF(Q$1="SIM",IF(Q10="","1",VLOOKUP(Q10,Dicionários!$E$2:$F$22,2,0)),"1")</f>
        <v>1</v>
      </c>
      <c r="S10" s="14"/>
      <c r="T10" s="53" t="str">
        <f>IF(S$1="SIM",IF(S10="","1",VLOOKUP(S10,Dicionários!$G$2:$H$22,2,0)),"1")</f>
        <v>1</v>
      </c>
      <c r="U10" s="14"/>
      <c r="V10" s="53" t="str">
        <f>IF(U$1="SIM",IF(U10="","1",VLOOKUP(U10,Dicionários!$I$2:$J$22,2,0)),"1")</f>
        <v>1</v>
      </c>
      <c r="W10" s="17"/>
      <c r="X10" s="53" t="str">
        <f>IF(W$1="SIM",IF(W10="","1",VLOOKUP(W10,Dicionários!$K$2:$L$22,2,0)),"1")</f>
        <v>1</v>
      </c>
      <c r="Y10" s="17" t="s">
        <v>164</v>
      </c>
      <c r="Z10" s="53">
        <f>IF(Y$1="SIM",IF(Y10="","1",VLOOKUP(Y10,Dicionários!$M$2:$N$12,2,0)),"1")</f>
        <v>1.45</v>
      </c>
      <c r="AA10" s="17"/>
      <c r="AB10" s="65"/>
      <c r="AC10" s="17" t="s">
        <v>139</v>
      </c>
      <c r="AD10" s="53">
        <f>IF(AC$1="SIM",IF(AC10="","1",VLOOKUP(AC10,Dicionários!$O$2:$Q$22,$AD$2,0)),"1")</f>
        <v>1.1040000000000001</v>
      </c>
      <c r="AE10" s="28">
        <v>780000</v>
      </c>
      <c r="AF10" s="54">
        <f t="shared" si="12"/>
        <v>6129.6660117878191</v>
      </c>
      <c r="AG10" s="27">
        <v>1</v>
      </c>
      <c r="AH10" s="54">
        <f t="shared" si="13"/>
        <v>6129.6660117878191</v>
      </c>
      <c r="AI10" s="47"/>
      <c r="AJ10" s="55">
        <f t="shared" si="14"/>
        <v>0.84833333333333338</v>
      </c>
      <c r="AK10" s="56">
        <f t="shared" si="15"/>
        <v>22.75</v>
      </c>
      <c r="AL10" s="56">
        <f t="shared" si="16"/>
        <v>45</v>
      </c>
      <c r="AM10" s="55">
        <f t="shared" si="17"/>
        <v>0.25</v>
      </c>
      <c r="AN10" s="57"/>
      <c r="AO10" s="55" t="str">
        <f t="shared" si="18"/>
        <v/>
      </c>
      <c r="AP10" s="56">
        <f t="shared" si="1"/>
        <v>0</v>
      </c>
      <c r="AQ10" s="56">
        <f t="shared" si="2"/>
        <v>0</v>
      </c>
      <c r="AR10" s="55">
        <f t="shared" si="19"/>
        <v>0.25</v>
      </c>
      <c r="AS10" s="58"/>
      <c r="AT10" s="59">
        <f t="shared" si="3"/>
        <v>0</v>
      </c>
      <c r="AU10" s="59">
        <f t="shared" si="4"/>
        <v>1</v>
      </c>
      <c r="AV10" s="47"/>
      <c r="AW10" s="60">
        <f t="shared" si="20"/>
        <v>0.91666666666666674</v>
      </c>
      <c r="AX10" s="60">
        <f t="shared" si="21"/>
        <v>0.95971356420021148</v>
      </c>
      <c r="AY10" s="60">
        <f t="shared" si="22"/>
        <v>1</v>
      </c>
      <c r="AZ10" s="60">
        <f t="shared" si="23"/>
        <v>1</v>
      </c>
      <c r="BA10" s="60">
        <f t="shared" si="24"/>
        <v>1</v>
      </c>
      <c r="BB10" s="60">
        <f t="shared" si="25"/>
        <v>1</v>
      </c>
      <c r="BC10" s="60">
        <f t="shared" si="26"/>
        <v>1</v>
      </c>
      <c r="BD10" s="60">
        <f t="shared" si="27"/>
        <v>1</v>
      </c>
      <c r="BE10" s="60">
        <f t="shared" si="28"/>
        <v>1</v>
      </c>
      <c r="BF10" s="60">
        <f t="shared" si="29"/>
        <v>1</v>
      </c>
      <c r="BG10" s="60">
        <f t="shared" si="30"/>
        <v>0.89655172413793105</v>
      </c>
      <c r="BH10" s="60">
        <f t="shared" si="5"/>
        <v>1</v>
      </c>
      <c r="BI10" s="60">
        <f t="shared" si="31"/>
        <v>0.98007246376811596</v>
      </c>
      <c r="BJ10" s="61">
        <f t="shared" si="6"/>
        <v>0.75300441877292523</v>
      </c>
      <c r="BK10" s="47"/>
      <c r="BL10" s="62">
        <f t="shared" si="7"/>
        <v>4615.6655924784418</v>
      </c>
      <c r="BM10" s="62">
        <f t="shared" si="8"/>
        <v>4615.6655924784418</v>
      </c>
      <c r="BN10" s="62">
        <f t="shared" si="9"/>
        <v>1.5259490701629086</v>
      </c>
      <c r="BO10" s="62">
        <f>IF(BM10="","",VLOOKUP($BU$16,Dicionários!$S$2:$T$31,2,0))</f>
        <v>2.0299999999999998</v>
      </c>
      <c r="BP10" s="62" t="str">
        <f t="shared" si="10"/>
        <v>ACEITO</v>
      </c>
      <c r="BQ10" s="47"/>
      <c r="BR10" s="117" t="s">
        <v>219</v>
      </c>
      <c r="BT10" s="128" t="s">
        <v>191</v>
      </c>
      <c r="BU10" s="133">
        <f>STDEV($BL$3:$BL$17)</f>
        <v>999.00920721029775</v>
      </c>
      <c r="BW10" s="158" t="s">
        <v>211</v>
      </c>
      <c r="BX10" s="159"/>
      <c r="BY10" s="159"/>
      <c r="BZ10" s="160">
        <f>BU21</f>
        <v>6195.3713544569209</v>
      </c>
      <c r="CA10" s="160"/>
      <c r="CB10" s="90"/>
      <c r="CC10" s="91"/>
      <c r="CE10" s="144"/>
      <c r="CF10" s="145"/>
      <c r="CG10" s="145"/>
      <c r="CH10" s="145"/>
      <c r="CI10" s="145"/>
      <c r="CJ10" s="146"/>
    </row>
    <row r="11" spans="1:88" s="63" customFormat="1" ht="28.5" customHeight="1" thickBot="1" x14ac:dyDescent="0.3">
      <c r="A11" s="116">
        <v>9</v>
      </c>
      <c r="B11" s="16" t="s">
        <v>278</v>
      </c>
      <c r="C11" s="14">
        <v>1.1000000000000001</v>
      </c>
      <c r="D11" s="49">
        <f t="shared" si="11"/>
        <v>1.1000000000000001</v>
      </c>
      <c r="E11" s="18">
        <v>97</v>
      </c>
      <c r="F11" s="66"/>
      <c r="G11" s="18"/>
      <c r="H11" s="66"/>
      <c r="I11" s="18"/>
      <c r="J11" s="66"/>
      <c r="K11" s="51" t="str">
        <f t="shared" si="0"/>
        <v/>
      </c>
      <c r="L11" s="67"/>
      <c r="M11" s="14"/>
      <c r="N11" s="53" t="str">
        <f>IF(M$1="SIM",IF(M11="","1",VLOOKUP(M11,Dicionários!$A$2:$B$22,2,0)),"1")</f>
        <v>1</v>
      </c>
      <c r="O11" s="14"/>
      <c r="P11" s="53" t="str">
        <f>IF(O$1="SIM",IF(O11="","1",VLOOKUP(O11,Dicionários!$C$2:$D$22,2,0)),"1")</f>
        <v>1</v>
      </c>
      <c r="Q11" s="14"/>
      <c r="R11" s="53" t="str">
        <f>IF(Q$1="SIM",IF(Q11="","1",VLOOKUP(Q11,Dicionários!$E$2:$F$22,2,0)),"1")</f>
        <v>1</v>
      </c>
      <c r="S11" s="14"/>
      <c r="T11" s="53" t="str">
        <f>IF(S$1="SIM",IF(S11="","1",VLOOKUP(S11,Dicionários!$G$2:$H$22,2,0)),"1")</f>
        <v>1</v>
      </c>
      <c r="U11" s="14"/>
      <c r="V11" s="53" t="str">
        <f>IF(U$1="SIM",IF(U11="","1",VLOOKUP(U11,Dicionários!$I$2:$J$22,2,0)),"1")</f>
        <v>1</v>
      </c>
      <c r="W11" s="17"/>
      <c r="X11" s="53" t="str">
        <f>IF(W$1="SIM",IF(W11="","1",VLOOKUP(W11,Dicionários!$K$2:$L$22,2,0)),"1")</f>
        <v>1</v>
      </c>
      <c r="Y11" s="17" t="s">
        <v>279</v>
      </c>
      <c r="Z11" s="53">
        <f>IF(Y$1="SIM",IF(Y11="","1",VLOOKUP(Y11,Dicionários!$M$2:$N$12,2,0)),"1")</f>
        <v>1.3</v>
      </c>
      <c r="AA11" s="17"/>
      <c r="AB11" s="65"/>
      <c r="AC11" s="17" t="s">
        <v>136</v>
      </c>
      <c r="AD11" s="53">
        <f>IF(AC$1="SIM",IF(AC11="","1",VLOOKUP(AC11,Dicionários!$O$2:$Q$22,$AD$2,0)),"1")</f>
        <v>1.04</v>
      </c>
      <c r="AE11" s="28">
        <v>890000</v>
      </c>
      <c r="AF11" s="54">
        <f t="shared" si="12"/>
        <v>9175.2577319587635</v>
      </c>
      <c r="AG11" s="27">
        <v>0.9</v>
      </c>
      <c r="AH11" s="54">
        <f t="shared" si="13"/>
        <v>8257.7319587628881</v>
      </c>
      <c r="AI11" s="47"/>
      <c r="AJ11" s="55">
        <f t="shared" si="14"/>
        <v>0.64666666666666661</v>
      </c>
      <c r="AK11" s="56">
        <f t="shared" si="15"/>
        <v>53</v>
      </c>
      <c r="AL11" s="56">
        <f t="shared" si="16"/>
        <v>45</v>
      </c>
      <c r="AM11" s="55">
        <f t="shared" si="17"/>
        <v>0.125</v>
      </c>
      <c r="AN11" s="57"/>
      <c r="AO11" s="55" t="str">
        <f t="shared" si="18"/>
        <v/>
      </c>
      <c r="AP11" s="56">
        <f t="shared" si="1"/>
        <v>0</v>
      </c>
      <c r="AQ11" s="56">
        <f t="shared" si="2"/>
        <v>0</v>
      </c>
      <c r="AR11" s="55">
        <f t="shared" si="19"/>
        <v>0.25</v>
      </c>
      <c r="AS11" s="58"/>
      <c r="AT11" s="59">
        <f t="shared" si="3"/>
        <v>0</v>
      </c>
      <c r="AU11" s="59">
        <f t="shared" si="4"/>
        <v>1</v>
      </c>
      <c r="AV11" s="47"/>
      <c r="AW11" s="60">
        <f t="shared" si="20"/>
        <v>1</v>
      </c>
      <c r="AX11" s="60">
        <f t="shared" si="21"/>
        <v>0.94696746764936712</v>
      </c>
      <c r="AY11" s="60">
        <f t="shared" si="22"/>
        <v>1</v>
      </c>
      <c r="AZ11" s="60">
        <f t="shared" si="23"/>
        <v>1</v>
      </c>
      <c r="BA11" s="60">
        <f t="shared" si="24"/>
        <v>1</v>
      </c>
      <c r="BB11" s="60">
        <f t="shared" si="25"/>
        <v>1</v>
      </c>
      <c r="BC11" s="60">
        <f t="shared" si="26"/>
        <v>1</v>
      </c>
      <c r="BD11" s="60">
        <f t="shared" si="27"/>
        <v>1</v>
      </c>
      <c r="BE11" s="60">
        <f t="shared" si="28"/>
        <v>1</v>
      </c>
      <c r="BF11" s="60">
        <f t="shared" si="29"/>
        <v>1</v>
      </c>
      <c r="BG11" s="60">
        <f t="shared" si="30"/>
        <v>1</v>
      </c>
      <c r="BH11" s="60">
        <f t="shared" si="5"/>
        <v>1</v>
      </c>
      <c r="BI11" s="60">
        <f t="shared" si="31"/>
        <v>1.0403846153846155</v>
      </c>
      <c r="BJ11" s="61">
        <f t="shared" si="6"/>
        <v>0.98735208303398259</v>
      </c>
      <c r="BK11" s="47"/>
      <c r="BL11" s="62">
        <f t="shared" si="7"/>
        <v>8153.2888506208265</v>
      </c>
      <c r="BM11" s="62" t="str">
        <f t="shared" si="8"/>
        <v/>
      </c>
      <c r="BN11" s="62" t="str">
        <f t="shared" si="9"/>
        <v/>
      </c>
      <c r="BO11" s="62" t="str">
        <f>IF(BM11="","",VLOOKUP($BU$16,Dicionários!$S$2:$T$31,2,0))</f>
        <v/>
      </c>
      <c r="BP11" s="62" t="str">
        <f t="shared" si="10"/>
        <v/>
      </c>
      <c r="BQ11" s="47"/>
      <c r="BR11" s="117" t="s">
        <v>270</v>
      </c>
      <c r="BT11" s="128" t="s">
        <v>192</v>
      </c>
      <c r="BU11" s="133">
        <f>BU10/BU4</f>
        <v>0.1655151962080976</v>
      </c>
      <c r="BW11" s="92" t="s">
        <v>269</v>
      </c>
      <c r="BX11" s="89"/>
      <c r="BY11" s="40"/>
      <c r="BZ11" s="89"/>
      <c r="CA11" s="93"/>
      <c r="CB11" s="90"/>
      <c r="CC11" s="91"/>
      <c r="CE11" s="144"/>
      <c r="CF11" s="145"/>
      <c r="CG11" s="145"/>
      <c r="CH11" s="145"/>
      <c r="CI11" s="145"/>
      <c r="CJ11" s="146"/>
    </row>
    <row r="12" spans="1:88" s="63" customFormat="1" ht="28.5" customHeight="1" thickBot="1" x14ac:dyDescent="0.3">
      <c r="A12" s="118">
        <v>10</v>
      </c>
      <c r="B12" s="16" t="s">
        <v>278</v>
      </c>
      <c r="C12" s="14">
        <v>1.2</v>
      </c>
      <c r="D12" s="49">
        <f t="shared" si="11"/>
        <v>1.2</v>
      </c>
      <c r="E12" s="18">
        <v>147</v>
      </c>
      <c r="F12" s="66"/>
      <c r="G12" s="18"/>
      <c r="H12" s="66"/>
      <c r="I12" s="18"/>
      <c r="J12" s="66"/>
      <c r="K12" s="51" t="str">
        <f t="shared" si="0"/>
        <v/>
      </c>
      <c r="L12" s="67"/>
      <c r="M12" s="14"/>
      <c r="N12" s="53" t="str">
        <f>IF(M$1="SIM",IF(M12="","1",VLOOKUP(M12,Dicionários!$A$2:$B$22,2,0)),"1")</f>
        <v>1</v>
      </c>
      <c r="O12" s="14"/>
      <c r="P12" s="53" t="str">
        <f>IF(O$1="SIM",IF(O12="","1",VLOOKUP(O12,Dicionários!$C$2:$D$22,2,0)),"1")</f>
        <v>1</v>
      </c>
      <c r="Q12" s="14"/>
      <c r="R12" s="53" t="str">
        <f>IF(Q$1="SIM",IF(Q12="","1",VLOOKUP(Q12,Dicionários!$E$2:$F$22,2,0)),"1")</f>
        <v>1</v>
      </c>
      <c r="S12" s="14"/>
      <c r="T12" s="53" t="str">
        <f>IF(S$1="SIM",IF(S12="","1",VLOOKUP(S12,Dicionários!$G$2:$H$22,2,0)),"1")</f>
        <v>1</v>
      </c>
      <c r="U12" s="14"/>
      <c r="V12" s="53" t="str">
        <f>IF(U$1="SIM",IF(U12="","1",VLOOKUP(U12,Dicionários!$I$2:$J$22,2,0)),"1")</f>
        <v>1</v>
      </c>
      <c r="W12" s="17"/>
      <c r="X12" s="53" t="str">
        <f>IF(W$1="SIM",IF(W12="","1",VLOOKUP(W12,Dicionários!$K$2:$L$22,2,0)),"1")</f>
        <v>1</v>
      </c>
      <c r="Y12" s="17" t="s">
        <v>164</v>
      </c>
      <c r="Z12" s="53">
        <f>IF(Y$1="SIM",IF(Y12="","1",VLOOKUP(Y12,Dicionários!$M$2:$N$12,2,0)),"1")</f>
        <v>1.45</v>
      </c>
      <c r="AA12" s="17"/>
      <c r="AB12" s="65"/>
      <c r="AC12" s="17" t="s">
        <v>141</v>
      </c>
      <c r="AD12" s="53">
        <f>IF(AC$1="SIM",IF(AC12="","1",VLOOKUP(AC12,Dicionários!$O$2:$Q$22,$AD$2,0)),"1")</f>
        <v>1.149</v>
      </c>
      <c r="AE12" s="28">
        <v>990000</v>
      </c>
      <c r="AF12" s="54">
        <f t="shared" si="12"/>
        <v>6734.6938775510207</v>
      </c>
      <c r="AG12" s="27">
        <v>1</v>
      </c>
      <c r="AH12" s="54">
        <f t="shared" si="13"/>
        <v>6734.6938775510207</v>
      </c>
      <c r="AI12" s="47"/>
      <c r="AJ12" s="55">
        <f t="shared" si="14"/>
        <v>0.98</v>
      </c>
      <c r="AK12" s="56">
        <f t="shared" si="15"/>
        <v>3</v>
      </c>
      <c r="AL12" s="56">
        <f t="shared" si="16"/>
        <v>45</v>
      </c>
      <c r="AM12" s="55">
        <f t="shared" si="17"/>
        <v>0.25</v>
      </c>
      <c r="AN12" s="57"/>
      <c r="AO12" s="55" t="str">
        <f t="shared" si="18"/>
        <v/>
      </c>
      <c r="AP12" s="56">
        <f t="shared" si="1"/>
        <v>0</v>
      </c>
      <c r="AQ12" s="56">
        <f t="shared" si="2"/>
        <v>0</v>
      </c>
      <c r="AR12" s="55">
        <f t="shared" si="19"/>
        <v>0.25</v>
      </c>
      <c r="AS12" s="58"/>
      <c r="AT12" s="59">
        <f t="shared" si="3"/>
        <v>0</v>
      </c>
      <c r="AU12" s="59">
        <f t="shared" si="4"/>
        <v>1</v>
      </c>
      <c r="AV12" s="47"/>
      <c r="AW12" s="60">
        <f t="shared" si="20"/>
        <v>0.91666666666666674</v>
      </c>
      <c r="AX12" s="60">
        <f t="shared" si="21"/>
        <v>0.99496205639268809</v>
      </c>
      <c r="AY12" s="60">
        <f t="shared" si="22"/>
        <v>1</v>
      </c>
      <c r="AZ12" s="60">
        <f t="shared" si="23"/>
        <v>1</v>
      </c>
      <c r="BA12" s="60">
        <f t="shared" si="24"/>
        <v>1</v>
      </c>
      <c r="BB12" s="60">
        <f t="shared" si="25"/>
        <v>1</v>
      </c>
      <c r="BC12" s="60">
        <f t="shared" si="26"/>
        <v>1</v>
      </c>
      <c r="BD12" s="60">
        <f t="shared" si="27"/>
        <v>1</v>
      </c>
      <c r="BE12" s="60">
        <f t="shared" si="28"/>
        <v>1</v>
      </c>
      <c r="BF12" s="60">
        <f t="shared" si="29"/>
        <v>1</v>
      </c>
      <c r="BG12" s="60">
        <f t="shared" si="30"/>
        <v>0.89655172413793105</v>
      </c>
      <c r="BH12" s="60">
        <f t="shared" si="5"/>
        <v>1</v>
      </c>
      <c r="BI12" s="60">
        <f t="shared" si="31"/>
        <v>0.94168842471714542</v>
      </c>
      <c r="BJ12" s="61">
        <f t="shared" si="6"/>
        <v>0.7498688719144313</v>
      </c>
      <c r="BK12" s="47"/>
      <c r="BL12" s="62">
        <f t="shared" si="7"/>
        <v>5050.1373006482108</v>
      </c>
      <c r="BM12" s="62">
        <f t="shared" si="8"/>
        <v>5050.1373006482108</v>
      </c>
      <c r="BN12" s="62">
        <f t="shared" si="9"/>
        <v>0.99860224542974185</v>
      </c>
      <c r="BO12" s="62">
        <f>IF(BM12="","",VLOOKUP($BU$16,Dicionários!$S$2:$T$31,2,0))</f>
        <v>2.0299999999999998</v>
      </c>
      <c r="BP12" s="62" t="str">
        <f t="shared" si="10"/>
        <v>ACEITO</v>
      </c>
      <c r="BQ12" s="47"/>
      <c r="BR12" s="117" t="s">
        <v>219</v>
      </c>
      <c r="BT12" s="84" t="s">
        <v>271</v>
      </c>
      <c r="BU12" s="96"/>
      <c r="BW12" s="94" t="s">
        <v>214</v>
      </c>
      <c r="BX12" s="89"/>
      <c r="BY12" s="40"/>
      <c r="BZ12" s="89"/>
      <c r="CA12" s="93"/>
      <c r="CB12" s="90"/>
      <c r="CC12" s="91"/>
      <c r="CE12" s="144"/>
      <c r="CF12" s="145"/>
      <c r="CG12" s="145"/>
      <c r="CH12" s="145"/>
      <c r="CI12" s="145"/>
      <c r="CJ12" s="146"/>
    </row>
    <row r="13" spans="1:88" s="63" customFormat="1" ht="28.5" customHeight="1" thickBot="1" x14ac:dyDescent="0.3">
      <c r="A13" s="116">
        <v>11</v>
      </c>
      <c r="B13" s="16" t="s">
        <v>278</v>
      </c>
      <c r="C13" s="14">
        <v>1.3</v>
      </c>
      <c r="D13" s="49">
        <f t="shared" si="11"/>
        <v>1.3</v>
      </c>
      <c r="E13" s="18">
        <v>226</v>
      </c>
      <c r="F13" s="66"/>
      <c r="G13" s="18"/>
      <c r="H13" s="66"/>
      <c r="I13" s="18"/>
      <c r="J13" s="66"/>
      <c r="K13" s="51" t="str">
        <f t="shared" si="0"/>
        <v/>
      </c>
      <c r="L13" s="67"/>
      <c r="M13" s="17"/>
      <c r="N13" s="53" t="str">
        <f>IF(M$1="SIM",IF(M13="","1",VLOOKUP(M13,Dicionários!$A$2:$B$22,2,0)),"1")</f>
        <v>1</v>
      </c>
      <c r="O13" s="17"/>
      <c r="P13" s="53" t="str">
        <f>IF(O$1="SIM",IF(O13="","1",VLOOKUP(O13,Dicionários!$C$2:$D$22,2,0)),"1")</f>
        <v>1</v>
      </c>
      <c r="Q13" s="17"/>
      <c r="R13" s="53" t="str">
        <f>IF(Q$1="SIM",IF(Q13="","1",VLOOKUP(Q13,Dicionários!$E$2:$F$22,2,0)),"1")</f>
        <v>1</v>
      </c>
      <c r="S13" s="17"/>
      <c r="T13" s="53" t="str">
        <f>IF(S$1="SIM",IF(S13="","1",VLOOKUP(S13,Dicionários!$G$2:$H$22,2,0)),"1")</f>
        <v>1</v>
      </c>
      <c r="U13" s="17"/>
      <c r="V13" s="53" t="str">
        <f>IF(U$1="SIM",IF(U13="","1",VLOOKUP(U13,Dicionários!$I$2:$J$22,2,0)),"1")</f>
        <v>1</v>
      </c>
      <c r="W13" s="17"/>
      <c r="X13" s="53" t="str">
        <f>IF(W$1="SIM",IF(W13="","1",VLOOKUP(W13,Dicionários!$K$2:$L$22,2,0)),"1")</f>
        <v>1</v>
      </c>
      <c r="Y13" s="17" t="s">
        <v>164</v>
      </c>
      <c r="Z13" s="53">
        <f>IF(Y$1="SIM",IF(Y13="","1",VLOOKUP(Y13,Dicionários!$M$2:$N$12,2,0)),"1")</f>
        <v>1.45</v>
      </c>
      <c r="AA13" s="17"/>
      <c r="AB13" s="65"/>
      <c r="AC13" s="17" t="s">
        <v>135</v>
      </c>
      <c r="AD13" s="53">
        <f>IF(AC$1="SIM",IF(AC13="","1",VLOOKUP(AC13,Dicionários!$O$2:$Q$22,$AD$2,0)),"1")</f>
        <v>1.02</v>
      </c>
      <c r="AE13" s="28">
        <v>1490000</v>
      </c>
      <c r="AF13" s="54">
        <f t="shared" si="12"/>
        <v>6592.9203539823011</v>
      </c>
      <c r="AG13" s="27">
        <v>0.9</v>
      </c>
      <c r="AH13" s="54">
        <f t="shared" si="13"/>
        <v>5933.6283185840712</v>
      </c>
      <c r="AI13" s="47"/>
      <c r="AJ13" s="55">
        <f t="shared" si="14"/>
        <v>1.5066666666666666</v>
      </c>
      <c r="AK13" s="56">
        <f t="shared" si="15"/>
        <v>76</v>
      </c>
      <c r="AL13" s="56">
        <f t="shared" si="16"/>
        <v>45</v>
      </c>
      <c r="AM13" s="55">
        <f t="shared" si="17"/>
        <v>0.125</v>
      </c>
      <c r="AN13" s="57"/>
      <c r="AO13" s="55" t="str">
        <f t="shared" si="18"/>
        <v/>
      </c>
      <c r="AP13" s="56">
        <f t="shared" si="1"/>
        <v>0</v>
      </c>
      <c r="AQ13" s="56">
        <f t="shared" si="2"/>
        <v>0</v>
      </c>
      <c r="AR13" s="55">
        <f t="shared" si="19"/>
        <v>0.25</v>
      </c>
      <c r="AS13" s="58"/>
      <c r="AT13" s="59">
        <f t="shared" si="3"/>
        <v>0</v>
      </c>
      <c r="AU13" s="59">
        <f t="shared" si="4"/>
        <v>1</v>
      </c>
      <c r="AV13" s="47"/>
      <c r="AW13" s="60">
        <f t="shared" si="20"/>
        <v>0.84615384615384615</v>
      </c>
      <c r="AX13" s="60">
        <f t="shared" si="21"/>
        <v>1.0525728108610399</v>
      </c>
      <c r="AY13" s="60">
        <f t="shared" si="22"/>
        <v>1</v>
      </c>
      <c r="AZ13" s="60">
        <f t="shared" si="23"/>
        <v>1</v>
      </c>
      <c r="BA13" s="60">
        <f t="shared" si="24"/>
        <v>1</v>
      </c>
      <c r="BB13" s="60">
        <f t="shared" si="25"/>
        <v>1</v>
      </c>
      <c r="BC13" s="60">
        <f t="shared" si="26"/>
        <v>1</v>
      </c>
      <c r="BD13" s="60">
        <f t="shared" si="27"/>
        <v>1</v>
      </c>
      <c r="BE13" s="60">
        <f t="shared" si="28"/>
        <v>1</v>
      </c>
      <c r="BF13" s="60">
        <f t="shared" si="29"/>
        <v>1</v>
      </c>
      <c r="BG13" s="60">
        <f t="shared" si="30"/>
        <v>0.89655172413793105</v>
      </c>
      <c r="BH13" s="60">
        <f t="shared" si="5"/>
        <v>1</v>
      </c>
      <c r="BI13" s="60">
        <f t="shared" si="31"/>
        <v>1.0607843137254902</v>
      </c>
      <c r="BJ13" s="61">
        <f t="shared" si="6"/>
        <v>0.85606269487830733</v>
      </c>
      <c r="BK13" s="47"/>
      <c r="BL13" s="62">
        <f t="shared" si="7"/>
        <v>5079.5578488133197</v>
      </c>
      <c r="BM13" s="62">
        <f t="shared" si="8"/>
        <v>5079.5578488133197</v>
      </c>
      <c r="BN13" s="62">
        <f t="shared" si="9"/>
        <v>0.96289259537649385</v>
      </c>
      <c r="BO13" s="62">
        <f>IF(BM13="","",VLOOKUP($BU$16,Dicionários!$S$2:$T$31,2,0))</f>
        <v>2.0299999999999998</v>
      </c>
      <c r="BP13" s="62" t="str">
        <f t="shared" si="10"/>
        <v>ACEITO</v>
      </c>
      <c r="BQ13" s="47"/>
      <c r="BR13" s="117" t="s">
        <v>219</v>
      </c>
      <c r="BT13" s="128" t="s">
        <v>193</v>
      </c>
      <c r="BU13" s="132" cm="1">
        <f t="array" ref="BU13">SUMPRODUCT(--(BM3:BM17&lt;&gt;""),--(BR3:BR17="SIM"))</f>
        <v>13</v>
      </c>
      <c r="BW13" s="158" t="s">
        <v>213</v>
      </c>
      <c r="BX13" s="159"/>
      <c r="BY13" s="159"/>
      <c r="BZ13" s="160">
        <f>$BZ$3*BZ6</f>
        <v>880930.20040970086</v>
      </c>
      <c r="CA13" s="160"/>
      <c r="CB13" s="90"/>
      <c r="CC13" s="91"/>
      <c r="CE13" s="94" t="s">
        <v>216</v>
      </c>
      <c r="CF13" s="100"/>
      <c r="CG13" s="100"/>
      <c r="CH13" s="100"/>
      <c r="CI13" s="100"/>
      <c r="CJ13" s="101"/>
    </row>
    <row r="14" spans="1:88" s="63" customFormat="1" ht="28.5" customHeight="1" thickBot="1" x14ac:dyDescent="0.3">
      <c r="A14" s="118">
        <v>12</v>
      </c>
      <c r="B14" s="16" t="s">
        <v>278</v>
      </c>
      <c r="C14" s="14">
        <v>1.1000000000000001</v>
      </c>
      <c r="D14" s="49">
        <f t="shared" si="11"/>
        <v>1.1000000000000001</v>
      </c>
      <c r="E14" s="18">
        <v>120.04</v>
      </c>
      <c r="F14" s="66"/>
      <c r="G14" s="18"/>
      <c r="H14" s="66"/>
      <c r="I14" s="18"/>
      <c r="J14" s="66"/>
      <c r="K14" s="51" t="str">
        <f t="shared" si="0"/>
        <v/>
      </c>
      <c r="L14" s="67"/>
      <c r="M14" s="17"/>
      <c r="N14" s="53" t="str">
        <f>IF(M$1="SIM",IF(M14="","1",VLOOKUP(M14,Dicionários!$A$2:$B$22,2,0)),"1")</f>
        <v>1</v>
      </c>
      <c r="O14" s="17"/>
      <c r="P14" s="53" t="str">
        <f>IF(O$1="SIM",IF(O14="","1",VLOOKUP(O14,Dicionários!$C$2:$D$22,2,0)),"1")</f>
        <v>1</v>
      </c>
      <c r="Q14" s="17"/>
      <c r="R14" s="53" t="str">
        <f>IF(Q$1="SIM",IF(Q14="","1",VLOOKUP(Q14,Dicionários!$E$2:$F$22,2,0)),"1")</f>
        <v>1</v>
      </c>
      <c r="S14" s="17"/>
      <c r="T14" s="53" t="str">
        <f>IF(S$1="SIM",IF(S14="","1",VLOOKUP(S14,Dicionários!$G$2:$H$22,2,0)),"1")</f>
        <v>1</v>
      </c>
      <c r="U14" s="17"/>
      <c r="V14" s="53" t="str">
        <f>IF(U$1="SIM",IF(U14="","1",VLOOKUP(U14,Dicionários!$I$2:$J$22,2,0)),"1")</f>
        <v>1</v>
      </c>
      <c r="W14" s="17"/>
      <c r="X14" s="53" t="str">
        <f>IF(W$1="SIM",IF(W14="","1",VLOOKUP(W14,Dicionários!$K$2:$L$22,2,0)),"1")</f>
        <v>1</v>
      </c>
      <c r="Y14" s="17" t="s">
        <v>164</v>
      </c>
      <c r="Z14" s="53">
        <f>IF(Y$1="SIM",IF(Y14="","1",VLOOKUP(Y14,Dicionários!$M$2:$N$12,2,0)),"1")</f>
        <v>1.45</v>
      </c>
      <c r="AA14" s="17"/>
      <c r="AB14" s="65"/>
      <c r="AC14" s="17" t="s">
        <v>136</v>
      </c>
      <c r="AD14" s="53">
        <f>IF(AC$1="SIM",IF(AC14="","1",VLOOKUP(AC14,Dicionários!$O$2:$Q$22,$AD$2,0)),"1")</f>
        <v>1.04</v>
      </c>
      <c r="AE14" s="28">
        <v>740000</v>
      </c>
      <c r="AF14" s="54">
        <f t="shared" si="12"/>
        <v>6164.6117960679767</v>
      </c>
      <c r="AG14" s="27">
        <v>1</v>
      </c>
      <c r="AH14" s="54">
        <f t="shared" si="13"/>
        <v>6164.6117960679767</v>
      </c>
      <c r="AI14" s="47"/>
      <c r="AJ14" s="55">
        <f t="shared" si="14"/>
        <v>0.80026666666666668</v>
      </c>
      <c r="AK14" s="56">
        <f t="shared" si="15"/>
        <v>29.959999999999994</v>
      </c>
      <c r="AL14" s="56">
        <f t="shared" si="16"/>
        <v>45</v>
      </c>
      <c r="AM14" s="55">
        <f t="shared" si="17"/>
        <v>0.25</v>
      </c>
      <c r="AN14" s="57"/>
      <c r="AO14" s="55" t="str">
        <f t="shared" si="18"/>
        <v/>
      </c>
      <c r="AP14" s="56">
        <f t="shared" si="1"/>
        <v>0</v>
      </c>
      <c r="AQ14" s="56">
        <f t="shared" si="2"/>
        <v>0</v>
      </c>
      <c r="AR14" s="55">
        <f t="shared" si="19"/>
        <v>0.25</v>
      </c>
      <c r="AS14" s="58"/>
      <c r="AT14" s="59">
        <f t="shared" si="3"/>
        <v>0</v>
      </c>
      <c r="AU14" s="59">
        <f t="shared" si="4"/>
        <v>1</v>
      </c>
      <c r="AV14" s="47"/>
      <c r="AW14" s="60">
        <f t="shared" si="20"/>
        <v>1</v>
      </c>
      <c r="AX14" s="60">
        <f t="shared" si="21"/>
        <v>0.94582041095436609</v>
      </c>
      <c r="AY14" s="60">
        <f t="shared" si="22"/>
        <v>1</v>
      </c>
      <c r="AZ14" s="60">
        <f t="shared" si="23"/>
        <v>1</v>
      </c>
      <c r="BA14" s="60">
        <f t="shared" si="24"/>
        <v>1</v>
      </c>
      <c r="BB14" s="60">
        <f t="shared" si="25"/>
        <v>1</v>
      </c>
      <c r="BC14" s="60">
        <f t="shared" si="26"/>
        <v>1</v>
      </c>
      <c r="BD14" s="60">
        <f t="shared" si="27"/>
        <v>1</v>
      </c>
      <c r="BE14" s="60">
        <f t="shared" si="28"/>
        <v>1</v>
      </c>
      <c r="BF14" s="60">
        <f t="shared" si="29"/>
        <v>1</v>
      </c>
      <c r="BG14" s="60">
        <f t="shared" si="30"/>
        <v>0.89655172413793105</v>
      </c>
      <c r="BH14" s="60">
        <f t="shared" si="5"/>
        <v>1</v>
      </c>
      <c r="BI14" s="60">
        <f t="shared" si="31"/>
        <v>1.0403846153846155</v>
      </c>
      <c r="BJ14" s="61">
        <f t="shared" si="6"/>
        <v>0.8827567504769126</v>
      </c>
      <c r="BK14" s="47"/>
      <c r="BL14" s="62">
        <f t="shared" si="7"/>
        <v>5441.8526770486105</v>
      </c>
      <c r="BM14" s="62">
        <f t="shared" si="8"/>
        <v>5441.8526770486105</v>
      </c>
      <c r="BN14" s="62">
        <f t="shared" si="9"/>
        <v>0.52315158648098647</v>
      </c>
      <c r="BO14" s="62">
        <f>IF(BM14="","",VLOOKUP($BU$16,Dicionários!$S$2:$T$31,2,0))</f>
        <v>2.0299999999999998</v>
      </c>
      <c r="BP14" s="62" t="str">
        <f t="shared" si="10"/>
        <v>ACEITO</v>
      </c>
      <c r="BQ14" s="47"/>
      <c r="BR14" s="117" t="s">
        <v>219</v>
      </c>
      <c r="BT14" s="128" t="s">
        <v>194</v>
      </c>
      <c r="BU14" s="133">
        <f>AVERAGEIF($BR$3:$BR$17,"SIM",$BM$3:$BM$17)</f>
        <v>5872.8680027313394</v>
      </c>
      <c r="BW14" s="158" t="s">
        <v>208</v>
      </c>
      <c r="BX14" s="159"/>
      <c r="BY14" s="159"/>
      <c r="BZ14" s="160">
        <f>$BZ$3*BZ7</f>
        <v>748790.67034824577</v>
      </c>
      <c r="CA14" s="160"/>
      <c r="CB14" s="161">
        <f>1-(BZ14/$BZ$13)</f>
        <v>0.14999999999999991</v>
      </c>
      <c r="CC14" s="162"/>
      <c r="CE14" s="147" t="s">
        <v>220</v>
      </c>
      <c r="CF14" s="148"/>
      <c r="CG14" s="148"/>
      <c r="CH14" s="148"/>
      <c r="CI14" s="148"/>
      <c r="CJ14" s="149"/>
    </row>
    <row r="15" spans="1:88" s="63" customFormat="1" ht="28.5" customHeight="1" thickBot="1" x14ac:dyDescent="0.3">
      <c r="A15" s="116">
        <v>13</v>
      </c>
      <c r="B15" s="16" t="s">
        <v>278</v>
      </c>
      <c r="C15" s="14">
        <v>1.2</v>
      </c>
      <c r="D15" s="49">
        <f t="shared" si="11"/>
        <v>1.2</v>
      </c>
      <c r="E15" s="18">
        <v>142.69999999999999</v>
      </c>
      <c r="F15" s="66"/>
      <c r="G15" s="18"/>
      <c r="H15" s="66"/>
      <c r="I15" s="18"/>
      <c r="J15" s="66"/>
      <c r="K15" s="51" t="str">
        <f t="shared" si="0"/>
        <v/>
      </c>
      <c r="L15" s="67"/>
      <c r="M15" s="17"/>
      <c r="N15" s="53" t="str">
        <f>IF(M$1="SIM",IF(M15="","1",VLOOKUP(M15,Dicionários!$A$2:$B$22,2,0)),"1")</f>
        <v>1</v>
      </c>
      <c r="O15" s="17"/>
      <c r="P15" s="53" t="str">
        <f>IF(O$1="SIM",IF(O15="","1",VLOOKUP(O15,Dicionários!$C$2:$D$22,2,0)),"1")</f>
        <v>1</v>
      </c>
      <c r="Q15" s="17"/>
      <c r="R15" s="53" t="str">
        <f>IF(Q$1="SIM",IF(Q15="","1",VLOOKUP(Q15,Dicionários!$E$2:$F$22,2,0)),"1")</f>
        <v>1</v>
      </c>
      <c r="S15" s="17"/>
      <c r="T15" s="53" t="str">
        <f>IF(S$1="SIM",IF(S15="","1",VLOOKUP(S15,Dicionários!$G$2:$H$22,2,0)),"1")</f>
        <v>1</v>
      </c>
      <c r="U15" s="17"/>
      <c r="V15" s="53" t="str">
        <f>IF(U$1="SIM",IF(U15="","1",VLOOKUP(U15,Dicionários!$I$2:$J$22,2,0)),"1")</f>
        <v>1</v>
      </c>
      <c r="W15" s="17"/>
      <c r="X15" s="53" t="str">
        <f>IF(W$1="SIM",IF(W15="","1",VLOOKUP(W15,Dicionários!$K$2:$L$22,2,0)),"1")</f>
        <v>1</v>
      </c>
      <c r="Y15" s="17" t="s">
        <v>164</v>
      </c>
      <c r="Z15" s="53">
        <f>IF(Y$1="SIM",IF(Y15="","1",VLOOKUP(Y15,Dicionários!$M$2:$N$12,2,0)),"1")</f>
        <v>1.45</v>
      </c>
      <c r="AA15" s="17"/>
      <c r="AB15" s="65"/>
      <c r="AC15" s="17" t="s">
        <v>136</v>
      </c>
      <c r="AD15" s="53">
        <f>IF(AC$1="SIM",IF(AC15="","1",VLOOKUP(AC15,Dicionários!$O$2:$Q$22,$AD$2,0)),"1")</f>
        <v>1.04</v>
      </c>
      <c r="AE15" s="28">
        <v>1300000</v>
      </c>
      <c r="AF15" s="54">
        <f t="shared" si="12"/>
        <v>9110.0210231254387</v>
      </c>
      <c r="AG15" s="27">
        <v>0.9</v>
      </c>
      <c r="AH15" s="54">
        <f t="shared" si="13"/>
        <v>8199.0189208128959</v>
      </c>
      <c r="AI15" s="47"/>
      <c r="AJ15" s="55">
        <f t="shared" si="14"/>
        <v>0.95133333333333325</v>
      </c>
      <c r="AK15" s="56">
        <f t="shared" si="15"/>
        <v>7.3000000000000114</v>
      </c>
      <c r="AL15" s="56">
        <f t="shared" si="16"/>
        <v>45</v>
      </c>
      <c r="AM15" s="55">
        <f t="shared" si="17"/>
        <v>0.25</v>
      </c>
      <c r="AN15" s="57"/>
      <c r="AO15" s="55" t="str">
        <f t="shared" si="18"/>
        <v/>
      </c>
      <c r="AP15" s="56">
        <f t="shared" si="1"/>
        <v>0</v>
      </c>
      <c r="AQ15" s="56">
        <f t="shared" si="2"/>
        <v>0</v>
      </c>
      <c r="AR15" s="55">
        <f t="shared" si="19"/>
        <v>0.25</v>
      </c>
      <c r="AS15" s="58"/>
      <c r="AT15" s="59">
        <f t="shared" si="3"/>
        <v>0</v>
      </c>
      <c r="AU15" s="59">
        <f t="shared" si="4"/>
        <v>1</v>
      </c>
      <c r="AV15" s="47"/>
      <c r="AW15" s="60">
        <f t="shared" si="20"/>
        <v>0.91666666666666674</v>
      </c>
      <c r="AX15" s="60">
        <f t="shared" si="21"/>
        <v>0.98760476923832585</v>
      </c>
      <c r="AY15" s="60">
        <f t="shared" si="22"/>
        <v>1</v>
      </c>
      <c r="AZ15" s="60">
        <f t="shared" si="23"/>
        <v>1</v>
      </c>
      <c r="BA15" s="60">
        <f t="shared" si="24"/>
        <v>1</v>
      </c>
      <c r="BB15" s="60">
        <f t="shared" si="25"/>
        <v>1</v>
      </c>
      <c r="BC15" s="60">
        <f t="shared" si="26"/>
        <v>1</v>
      </c>
      <c r="BD15" s="60">
        <f t="shared" si="27"/>
        <v>1</v>
      </c>
      <c r="BE15" s="60">
        <f t="shared" si="28"/>
        <v>1</v>
      </c>
      <c r="BF15" s="60">
        <f t="shared" si="29"/>
        <v>1</v>
      </c>
      <c r="BG15" s="60">
        <f t="shared" si="30"/>
        <v>0.89655172413793105</v>
      </c>
      <c r="BH15" s="60">
        <f t="shared" si="5"/>
        <v>1</v>
      </c>
      <c r="BI15" s="60">
        <f t="shared" si="31"/>
        <v>1.0403846153846155</v>
      </c>
      <c r="BJ15" s="61">
        <f t="shared" si="6"/>
        <v>0.84120777542753911</v>
      </c>
      <c r="BK15" s="47"/>
      <c r="BL15" s="62">
        <f t="shared" si="7"/>
        <v>6897.0784670653184</v>
      </c>
      <c r="BM15" s="62">
        <f t="shared" si="8"/>
        <v>6897.0784670653184</v>
      </c>
      <c r="BN15" s="62">
        <f t="shared" si="9"/>
        <v>1.2431514551321661</v>
      </c>
      <c r="BO15" s="62">
        <f>IF(BM15="","",VLOOKUP($BU$16,Dicionários!$S$2:$T$31,2,0))</f>
        <v>2.0299999999999998</v>
      </c>
      <c r="BP15" s="62" t="str">
        <f t="shared" si="10"/>
        <v>ACEITO</v>
      </c>
      <c r="BQ15" s="47"/>
      <c r="BR15" s="117" t="s">
        <v>219</v>
      </c>
      <c r="BT15" s="128" t="s">
        <v>191</v>
      </c>
      <c r="BU15" s="134" cm="1">
        <f t="array" ref="BU15">_xlfn.STDEV.S(IF($BR$3:$BR$17="SIM",$BM$3:$BM$17))</f>
        <v>823.88228731557865</v>
      </c>
      <c r="BW15" s="158" t="s">
        <v>209</v>
      </c>
      <c r="BX15" s="159"/>
      <c r="BY15" s="159"/>
      <c r="BZ15" s="160">
        <f>$BZ$3*BZ8</f>
        <v>1013069.7304711561</v>
      </c>
      <c r="CA15" s="160"/>
      <c r="CB15" s="161">
        <f>(BZ15/$BZ$13)-1</f>
        <v>0.15000000000000013</v>
      </c>
      <c r="CC15" s="162"/>
      <c r="CE15" s="147"/>
      <c r="CF15" s="148"/>
      <c r="CG15" s="148"/>
      <c r="CH15" s="148"/>
      <c r="CI15" s="148"/>
      <c r="CJ15" s="149"/>
    </row>
    <row r="16" spans="1:88" s="63" customFormat="1" ht="28.5" customHeight="1" thickBot="1" x14ac:dyDescent="0.3">
      <c r="A16" s="118">
        <v>14</v>
      </c>
      <c r="B16" s="16" t="s">
        <v>278</v>
      </c>
      <c r="C16" s="14">
        <v>1.1000000000000001</v>
      </c>
      <c r="D16" s="49">
        <f t="shared" si="11"/>
        <v>1.1000000000000001</v>
      </c>
      <c r="E16" s="18">
        <v>168.37</v>
      </c>
      <c r="F16" s="66"/>
      <c r="G16" s="18"/>
      <c r="H16" s="66"/>
      <c r="I16" s="18"/>
      <c r="J16" s="66"/>
      <c r="K16" s="51" t="str">
        <f t="shared" si="0"/>
        <v/>
      </c>
      <c r="L16" s="67"/>
      <c r="M16" s="17"/>
      <c r="N16" s="53" t="str">
        <f>IF(M$1="SIM",IF(M16="","1",VLOOKUP(M16,Dicionários!$A$2:$B$22,2,0)),"1")</f>
        <v>1</v>
      </c>
      <c r="O16" s="17"/>
      <c r="P16" s="53" t="str">
        <f>IF(O$1="SIM",IF(O16="","1",VLOOKUP(O16,Dicionários!$C$2:$D$22,2,0)),"1")</f>
        <v>1</v>
      </c>
      <c r="Q16" s="17"/>
      <c r="R16" s="53" t="str">
        <f>IF(Q$1="SIM",IF(Q16="","1",VLOOKUP(Q16,Dicionários!$E$2:$F$22,2,0)),"1")</f>
        <v>1</v>
      </c>
      <c r="S16" s="17"/>
      <c r="T16" s="53" t="str">
        <f>IF(S$1="SIM",IF(S16="","1",VLOOKUP(S16,Dicionários!$G$2:$H$22,2,0)),"1")</f>
        <v>1</v>
      </c>
      <c r="U16" s="17"/>
      <c r="V16" s="53" t="str">
        <f>IF(U$1="SIM",IF(U16="","1",VLOOKUP(U16,Dicionários!$I$2:$J$22,2,0)),"1")</f>
        <v>1</v>
      </c>
      <c r="W16" s="17"/>
      <c r="X16" s="53" t="str">
        <f>IF(W$1="SIM",IF(W16="","1",VLOOKUP(W16,Dicionários!$K$2:$L$22,2,0)),"1")</f>
        <v>1</v>
      </c>
      <c r="Y16" s="17" t="s">
        <v>279</v>
      </c>
      <c r="Z16" s="53">
        <f>IF(Y$1="SIM",IF(Y16="","1",VLOOKUP(Y16,Dicionários!$M$2:$N$12,2,0)),"1")</f>
        <v>1.3</v>
      </c>
      <c r="AA16" s="17"/>
      <c r="AB16" s="65"/>
      <c r="AC16" s="17" t="s">
        <v>137</v>
      </c>
      <c r="AD16" s="53">
        <f>IF(AC$1="SIM",IF(AC16="","1",VLOOKUP(AC16,Dicionários!$O$2:$Q$22,$AD$2,0)),"1")</f>
        <v>1.0609999999999999</v>
      </c>
      <c r="AE16" s="28">
        <v>850000</v>
      </c>
      <c r="AF16" s="54">
        <f t="shared" si="12"/>
        <v>5048.4052978559121</v>
      </c>
      <c r="AG16" s="27">
        <v>0.9</v>
      </c>
      <c r="AH16" s="54">
        <f t="shared" si="13"/>
        <v>4543.5647680703214</v>
      </c>
      <c r="AI16" s="47"/>
      <c r="AJ16" s="55">
        <f t="shared" si="14"/>
        <v>1.1224666666666667</v>
      </c>
      <c r="AK16" s="56">
        <f t="shared" si="15"/>
        <v>18.370000000000005</v>
      </c>
      <c r="AL16" s="56">
        <f t="shared" si="16"/>
        <v>45</v>
      </c>
      <c r="AM16" s="55">
        <f t="shared" si="17"/>
        <v>0.25</v>
      </c>
      <c r="AN16" s="57"/>
      <c r="AO16" s="55" t="str">
        <f t="shared" si="18"/>
        <v/>
      </c>
      <c r="AP16" s="56">
        <f t="shared" si="1"/>
        <v>0</v>
      </c>
      <c r="AQ16" s="56">
        <f t="shared" si="2"/>
        <v>0</v>
      </c>
      <c r="AR16" s="55">
        <f t="shared" si="19"/>
        <v>0.25</v>
      </c>
      <c r="AS16" s="58"/>
      <c r="AT16" s="59">
        <f t="shared" si="3"/>
        <v>0</v>
      </c>
      <c r="AU16" s="59">
        <f t="shared" si="4"/>
        <v>1</v>
      </c>
      <c r="AV16" s="47"/>
      <c r="AW16" s="60">
        <f t="shared" si="20"/>
        <v>1</v>
      </c>
      <c r="AX16" s="60">
        <f t="shared" si="21"/>
        <v>1.0293032954049364</v>
      </c>
      <c r="AY16" s="60">
        <f t="shared" si="22"/>
        <v>1</v>
      </c>
      <c r="AZ16" s="60">
        <f t="shared" si="23"/>
        <v>1</v>
      </c>
      <c r="BA16" s="60">
        <f t="shared" si="24"/>
        <v>1</v>
      </c>
      <c r="BB16" s="60">
        <f t="shared" si="25"/>
        <v>1</v>
      </c>
      <c r="BC16" s="60">
        <f t="shared" si="26"/>
        <v>1</v>
      </c>
      <c r="BD16" s="60">
        <f t="shared" si="27"/>
        <v>1</v>
      </c>
      <c r="BE16" s="60">
        <f t="shared" si="28"/>
        <v>1</v>
      </c>
      <c r="BF16" s="60">
        <f t="shared" si="29"/>
        <v>1</v>
      </c>
      <c r="BG16" s="60">
        <f t="shared" si="30"/>
        <v>1</v>
      </c>
      <c r="BH16" s="60">
        <f t="shared" si="5"/>
        <v>1</v>
      </c>
      <c r="BI16" s="60">
        <f t="shared" si="31"/>
        <v>1.0197926484448634</v>
      </c>
      <c r="BJ16" s="61">
        <f t="shared" si="6"/>
        <v>1.0490959438497998</v>
      </c>
      <c r="BK16" s="47"/>
      <c r="BL16" s="62">
        <f t="shared" si="7"/>
        <v>4766.6353688014306</v>
      </c>
      <c r="BM16" s="62">
        <f t="shared" si="8"/>
        <v>4766.6353688014306</v>
      </c>
      <c r="BN16" s="62">
        <f t="shared" si="9"/>
        <v>1.3427071451363526</v>
      </c>
      <c r="BO16" s="62">
        <f>IF(BM16="","",VLOOKUP($BU$16,Dicionários!$S$2:$T$31,2,0))</f>
        <v>2.0299999999999998</v>
      </c>
      <c r="BP16" s="62" t="str">
        <f t="shared" si="10"/>
        <v>ACEITO</v>
      </c>
      <c r="BQ16" s="47"/>
      <c r="BR16" s="117" t="s">
        <v>219</v>
      </c>
      <c r="BT16" s="128" t="s">
        <v>199</v>
      </c>
      <c r="BU16" s="132">
        <f>BU13-1</f>
        <v>12</v>
      </c>
      <c r="BW16" s="158" t="s">
        <v>210</v>
      </c>
      <c r="BX16" s="159"/>
      <c r="BY16" s="159"/>
      <c r="BZ16" s="160">
        <f>$BZ$3*BZ9</f>
        <v>832554.69765086367</v>
      </c>
      <c r="CA16" s="160"/>
      <c r="CB16" s="161">
        <f>1-(BZ16/$BZ$13)</f>
        <v>5.4914115484222092E-2</v>
      </c>
      <c r="CC16" s="162"/>
      <c r="CE16" s="147"/>
      <c r="CF16" s="148"/>
      <c r="CG16" s="148"/>
      <c r="CH16" s="148"/>
      <c r="CI16" s="148"/>
      <c r="CJ16" s="149"/>
    </row>
    <row r="17" spans="1:88" s="63" customFormat="1" ht="28.5" customHeight="1" thickBot="1" x14ac:dyDescent="0.3">
      <c r="A17" s="119">
        <v>15</v>
      </c>
      <c r="B17" s="19"/>
      <c r="C17" s="83"/>
      <c r="D17" s="49">
        <f t="shared" si="11"/>
        <v>0</v>
      </c>
      <c r="E17" s="21"/>
      <c r="F17" s="69"/>
      <c r="G17" s="21"/>
      <c r="H17" s="69"/>
      <c r="I17" s="21"/>
      <c r="J17" s="69"/>
      <c r="K17" s="70" t="str">
        <f t="shared" si="0"/>
        <v/>
      </c>
      <c r="L17" s="71"/>
      <c r="M17" s="20"/>
      <c r="N17" s="72" t="str">
        <f>IF(M$1="SIM",IF(M17="","1",VLOOKUP(M17,Dicionários!$A$2:$B$22,2,0)),"1")</f>
        <v>1</v>
      </c>
      <c r="O17" s="20"/>
      <c r="P17" s="72" t="str">
        <f>IF(O$1="SIM",IF(O17="","1",VLOOKUP(O17,Dicionários!$C$2:$D$22,2,0)),"1")</f>
        <v>1</v>
      </c>
      <c r="Q17" s="20"/>
      <c r="R17" s="72" t="str">
        <f>IF(Q$1="SIM",IF(Q17="","1",VLOOKUP(Q17,Dicionários!$E$2:$F$22,2,0)),"1")</f>
        <v>1</v>
      </c>
      <c r="S17" s="20"/>
      <c r="T17" s="72" t="str">
        <f>IF(S$1="SIM",IF(S17="","1",VLOOKUP(S17,Dicionários!$G$2:$H$22,2,0)),"1")</f>
        <v>1</v>
      </c>
      <c r="U17" s="20"/>
      <c r="V17" s="72" t="str">
        <f>IF(U$1="SIM",IF(U17="","1",VLOOKUP(U17,Dicionários!$I$2:$J$22,2,0)),"1")</f>
        <v>1</v>
      </c>
      <c r="W17" s="20"/>
      <c r="X17" s="72" t="str">
        <f>IF(W$1="SIM",IF(W17="","1",VLOOKUP(W17,Dicionários!$K$2:$L$22,2,0)),"1")</f>
        <v>1</v>
      </c>
      <c r="Y17" s="20"/>
      <c r="Z17" s="72" t="str">
        <f>IF(Y$1="SIM",IF(Y17="","1",VLOOKUP(Y17,Dicionários!$M$2:$N$12,2,0)),"1")</f>
        <v>1</v>
      </c>
      <c r="AA17" s="20"/>
      <c r="AB17" s="68"/>
      <c r="AC17" s="20"/>
      <c r="AD17" s="53" t="str">
        <f>IF(AC$1="SIM",IF(AC17="","1",VLOOKUP(AC17,Dicionários!$O$2:$Q$22,$AD$2,0)),"1")</f>
        <v>1</v>
      </c>
      <c r="AE17" s="28"/>
      <c r="AF17" s="54" t="str">
        <f t="shared" si="12"/>
        <v/>
      </c>
      <c r="AG17" s="27"/>
      <c r="AH17" s="54" t="str">
        <f t="shared" si="13"/>
        <v/>
      </c>
      <c r="AI17" s="47"/>
      <c r="AJ17" s="55" t="str">
        <f t="shared" si="14"/>
        <v/>
      </c>
      <c r="AK17" s="56">
        <f t="shared" si="15"/>
        <v>150</v>
      </c>
      <c r="AL17" s="56">
        <f t="shared" si="16"/>
        <v>45</v>
      </c>
      <c r="AM17" s="55">
        <f t="shared" si="17"/>
        <v>0.125</v>
      </c>
      <c r="AN17" s="57"/>
      <c r="AO17" s="55" t="str">
        <f t="shared" si="18"/>
        <v/>
      </c>
      <c r="AP17" s="56">
        <f t="shared" si="1"/>
        <v>0</v>
      </c>
      <c r="AQ17" s="56">
        <f t="shared" si="2"/>
        <v>0</v>
      </c>
      <c r="AR17" s="55">
        <f t="shared" si="19"/>
        <v>0.25</v>
      </c>
      <c r="AS17" s="58"/>
      <c r="AT17" s="59">
        <f t="shared" si="3"/>
        <v>0</v>
      </c>
      <c r="AU17" s="59">
        <f t="shared" si="4"/>
        <v>1</v>
      </c>
      <c r="AV17" s="47"/>
      <c r="AW17" s="60">
        <f t="shared" si="20"/>
        <v>1</v>
      </c>
      <c r="AX17" s="60">
        <f t="shared" si="21"/>
        <v>1</v>
      </c>
      <c r="AY17" s="60">
        <f t="shared" si="22"/>
        <v>1</v>
      </c>
      <c r="AZ17" s="60">
        <f t="shared" si="23"/>
        <v>1</v>
      </c>
      <c r="BA17" s="60">
        <f t="shared" si="24"/>
        <v>1</v>
      </c>
      <c r="BB17" s="60">
        <f t="shared" si="25"/>
        <v>1</v>
      </c>
      <c r="BC17" s="60">
        <f t="shared" si="26"/>
        <v>1</v>
      </c>
      <c r="BD17" s="60">
        <f t="shared" si="27"/>
        <v>1</v>
      </c>
      <c r="BE17" s="60">
        <f t="shared" si="28"/>
        <v>1</v>
      </c>
      <c r="BF17" s="60">
        <f t="shared" si="29"/>
        <v>1</v>
      </c>
      <c r="BG17" s="60">
        <f t="shared" si="30"/>
        <v>1.3</v>
      </c>
      <c r="BH17" s="60">
        <f t="shared" si="5"/>
        <v>1</v>
      </c>
      <c r="BI17" s="60">
        <f t="shared" si="31"/>
        <v>1.0820000000000001</v>
      </c>
      <c r="BJ17" s="61">
        <f t="shared" si="6"/>
        <v>1.3820000000000001</v>
      </c>
      <c r="BK17" s="47"/>
      <c r="BL17" s="62" t="str">
        <f>IF(AH17="","",BJ17*AH17)</f>
        <v/>
      </c>
      <c r="BM17" s="62" t="str">
        <f>IF(BL17="","",IF(BR17="Sim",AH17*BJ17,""))</f>
        <v/>
      </c>
      <c r="BN17" s="62" t="str">
        <f t="shared" si="9"/>
        <v/>
      </c>
      <c r="BO17" s="62" t="str">
        <f>IF(BM17="","",VLOOKUP($BU$16,Dicionários!$S$2:$T$31,2,0))</f>
        <v/>
      </c>
      <c r="BP17" s="62" t="str">
        <f t="shared" si="10"/>
        <v/>
      </c>
      <c r="BQ17" s="47"/>
      <c r="BR17" s="117" t="s">
        <v>219</v>
      </c>
      <c r="BT17" s="128" t="s">
        <v>206</v>
      </c>
      <c r="BU17" s="133">
        <f>BU14*1.15</f>
        <v>6753.7982031410402</v>
      </c>
      <c r="BW17" s="153" t="s">
        <v>211</v>
      </c>
      <c r="BX17" s="154"/>
      <c r="BY17" s="154"/>
      <c r="BZ17" s="155">
        <f>$BZ$3*BZ10</f>
        <v>929305.70316853817</v>
      </c>
      <c r="CA17" s="155"/>
      <c r="CB17" s="156">
        <f>(BZ17/$BZ$13)-1</f>
        <v>5.4914115484222092E-2</v>
      </c>
      <c r="CC17" s="157"/>
      <c r="CE17" s="147" t="s">
        <v>221</v>
      </c>
      <c r="CF17" s="148"/>
      <c r="CG17" s="148"/>
      <c r="CH17" s="148"/>
      <c r="CI17" s="148"/>
      <c r="CJ17" s="149"/>
    </row>
    <row r="18" spans="1:88" s="63" customFormat="1" ht="28.5" customHeight="1" thickBot="1" x14ac:dyDescent="0.3">
      <c r="A18" s="25" t="s">
        <v>158</v>
      </c>
      <c r="B18" s="22"/>
      <c r="C18" s="24">
        <v>1.1000000000000001</v>
      </c>
      <c r="D18" s="76">
        <f t="shared" si="11"/>
        <v>1.1000000000000001</v>
      </c>
      <c r="E18" s="23">
        <v>150</v>
      </c>
      <c r="F18" s="73"/>
      <c r="G18" s="23"/>
      <c r="H18" s="73"/>
      <c r="I18" s="23"/>
      <c r="J18" s="73"/>
      <c r="K18" s="74" t="str">
        <f t="shared" si="0"/>
        <v/>
      </c>
      <c r="L18" s="75"/>
      <c r="M18" s="24"/>
      <c r="N18" s="76" t="str">
        <f>IF(M$1="SIM",IF(M18="","1",VLOOKUP(M18,Dicionários!$A$2:$B$22,2,0)),"1")</f>
        <v>1</v>
      </c>
      <c r="O18" s="24"/>
      <c r="P18" s="76" t="str">
        <f>IF(O$1="SIM",IF(O18="","1",VLOOKUP(O18,Dicionários!$C$2:$D$22,2,0)),"1")</f>
        <v>1</v>
      </c>
      <c r="Q18" s="24"/>
      <c r="R18" s="76" t="str">
        <f>IF(Q$1="SIM",IF(Q18="","1",VLOOKUP(Q18,Dicionários!$E$2:$F$22,2,0)),"1")</f>
        <v>1</v>
      </c>
      <c r="S18" s="24"/>
      <c r="T18" s="76" t="str">
        <f>IF(S$1="SIM",IF(S18="","1",VLOOKUP(S18,Dicionários!$G$2:$H$22,2,0)),"1")</f>
        <v>1</v>
      </c>
      <c r="U18" s="24"/>
      <c r="V18" s="76" t="str">
        <f>IF(U$1="SIM",IF(U18="","1",VLOOKUP(U18,Dicionários!$I$2:$J$22,2,0)),"1")</f>
        <v>1</v>
      </c>
      <c r="W18" s="24"/>
      <c r="X18" s="76" t="str">
        <f>IF(W$1="SIM",IF(W18="","1",VLOOKUP(W18,Dicionários!$K$2:$L$22,2,0)),"1")</f>
        <v>1</v>
      </c>
      <c r="Y18" s="24" t="s">
        <v>279</v>
      </c>
      <c r="Z18" s="76">
        <f>IF(Y$1="SIM",IF(Y18="","1",VLOOKUP(Y18,Dicionários!$M$2:$N$12,2,0)),"1")</f>
        <v>1.3</v>
      </c>
      <c r="AA18" s="24"/>
      <c r="AB18" s="77"/>
      <c r="AC18" s="25" t="s">
        <v>138</v>
      </c>
      <c r="AD18" s="76">
        <f>IF(AC$1="SIM",IF(AC18="","1",VLOOKUP(AC18,Dicionários!$O$2:$Q$22,$AD$2,0)),"1")</f>
        <v>1.0820000000000001</v>
      </c>
      <c r="AE18" s="120"/>
      <c r="AF18" s="120"/>
      <c r="AG18" s="120"/>
      <c r="AH18" s="121"/>
      <c r="AI18" s="120"/>
      <c r="AJ18" s="122"/>
      <c r="AK18" s="123"/>
      <c r="AL18" s="123"/>
      <c r="AM18" s="122"/>
      <c r="AN18" s="123"/>
      <c r="AO18" s="122"/>
      <c r="AP18" s="123"/>
      <c r="AQ18" s="123"/>
      <c r="AR18" s="122"/>
      <c r="AS18" s="124"/>
      <c r="AT18" s="125">
        <f t="shared" si="3"/>
        <v>0</v>
      </c>
      <c r="AU18" s="125">
        <f t="shared" si="4"/>
        <v>1</v>
      </c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6">
        <f>AVERAGE(BL3:BL17)</f>
        <v>6035.7552061520173</v>
      </c>
      <c r="BM18" s="126">
        <f>AVERAGE(BM3:BM17)</f>
        <v>5872.8680027313394</v>
      </c>
      <c r="BN18" s="135"/>
      <c r="BO18" s="135"/>
      <c r="BP18" s="135"/>
      <c r="BQ18" s="120"/>
      <c r="BR18" s="127"/>
      <c r="BT18" s="128" t="s">
        <v>207</v>
      </c>
      <c r="BU18" s="133">
        <f>BU14*0.85</f>
        <v>4991.9378023216386</v>
      </c>
      <c r="CE18" s="147"/>
      <c r="CF18" s="148"/>
      <c r="CG18" s="148"/>
      <c r="CH18" s="148"/>
      <c r="CI18" s="148"/>
      <c r="CJ18" s="149"/>
    </row>
    <row r="19" spans="1:88" ht="28.5" customHeight="1" x14ac:dyDescent="0.25">
      <c r="A19" s="103"/>
      <c r="AE19" s="104"/>
      <c r="AF19" s="104"/>
      <c r="AG19" s="104"/>
      <c r="AH19" s="104"/>
      <c r="AI19" s="104"/>
      <c r="AJ19" s="105"/>
      <c r="AK19" s="106"/>
      <c r="BT19" s="128" t="s">
        <v>200</v>
      </c>
      <c r="BU19" s="129">
        <f>VLOOKUP(BU16,Dicionários!V3:W39,2,0)</f>
        <v>1.3560000000000001</v>
      </c>
      <c r="CE19" s="147"/>
      <c r="CF19" s="148"/>
      <c r="CG19" s="148"/>
      <c r="CH19" s="148"/>
      <c r="CI19" s="148"/>
      <c r="CJ19" s="149"/>
    </row>
    <row r="20" spans="1:88" ht="28.5" customHeight="1" thickBot="1" x14ac:dyDescent="0.3">
      <c r="C20" s="35"/>
      <c r="D20" s="35"/>
      <c r="AG20" s="104"/>
      <c r="AH20" s="104"/>
      <c r="AI20" s="104"/>
      <c r="AJ20" s="105"/>
      <c r="AK20" s="106"/>
      <c r="AL20" s="104"/>
      <c r="BT20" s="128" t="s">
        <v>201</v>
      </c>
      <c r="BU20" s="129">
        <f>BU14-BU19*(BU15/(BU13-1)^0.5)</f>
        <v>5550.3646510057579</v>
      </c>
      <c r="CE20" s="150"/>
      <c r="CF20" s="151"/>
      <c r="CG20" s="151"/>
      <c r="CH20" s="151"/>
      <c r="CI20" s="151"/>
      <c r="CJ20" s="152"/>
    </row>
    <row r="21" spans="1:88" ht="28.5" customHeight="1" x14ac:dyDescent="0.25">
      <c r="C21" s="35"/>
      <c r="D21" s="35"/>
      <c r="AG21" s="104"/>
      <c r="AH21" s="104"/>
      <c r="AI21" s="104"/>
      <c r="AJ21" s="105"/>
      <c r="AK21" s="106"/>
      <c r="BT21" s="128" t="s">
        <v>202</v>
      </c>
      <c r="BU21" s="129">
        <f>BU14+BU19*(BU15/(BU13-1)^0.5)</f>
        <v>6195.3713544569209</v>
      </c>
    </row>
    <row r="22" spans="1:88" ht="28.5" customHeight="1" x14ac:dyDescent="0.25">
      <c r="C22" s="35"/>
      <c r="D22" s="35"/>
      <c r="AG22" s="104"/>
      <c r="AH22" s="104"/>
      <c r="AI22" s="104"/>
      <c r="AJ22" s="105"/>
      <c r="AK22" s="106"/>
      <c r="BT22" s="128" t="s">
        <v>195</v>
      </c>
      <c r="BU22" s="129">
        <f>BU21-BU20</f>
        <v>645.00670345116305</v>
      </c>
    </row>
    <row r="23" spans="1:88" ht="28.5" customHeight="1" thickBot="1" x14ac:dyDescent="0.3">
      <c r="C23" s="35"/>
      <c r="D23" s="35"/>
      <c r="AG23" s="104"/>
      <c r="AH23" s="104"/>
      <c r="AI23" s="104"/>
      <c r="AJ23" s="105"/>
      <c r="AK23" s="106"/>
      <c r="BT23" s="130" t="s">
        <v>196</v>
      </c>
      <c r="BU23" s="131">
        <f>(BU22/BU14)</f>
        <v>0.10982823096844418</v>
      </c>
    </row>
    <row r="24" spans="1:88" ht="19.5" customHeight="1" x14ac:dyDescent="0.2">
      <c r="C24" s="35"/>
      <c r="D24" s="35"/>
      <c r="AG24" s="104"/>
      <c r="AH24" s="104"/>
      <c r="AI24" s="104"/>
      <c r="AJ24" s="105"/>
      <c r="AK24" s="106"/>
    </row>
  </sheetData>
  <mergeCells count="58">
    <mergeCell ref="G1:H1"/>
    <mergeCell ref="I1:J1"/>
    <mergeCell ref="K1:L1"/>
    <mergeCell ref="M1:N1"/>
    <mergeCell ref="AT1:AU1"/>
    <mergeCell ref="C2:D2"/>
    <mergeCell ref="E2:F2"/>
    <mergeCell ref="G2:H2"/>
    <mergeCell ref="I2:J2"/>
    <mergeCell ref="K2:L2"/>
    <mergeCell ref="O1:P1"/>
    <mergeCell ref="Q1:R1"/>
    <mergeCell ref="S1:T1"/>
    <mergeCell ref="U1:V1"/>
    <mergeCell ref="W1:X1"/>
    <mergeCell ref="Y1:Z1"/>
    <mergeCell ref="C1:D1"/>
    <mergeCell ref="E1:F1"/>
    <mergeCell ref="AJ1:AM1"/>
    <mergeCell ref="AO1:AR1"/>
    <mergeCell ref="M2:N2"/>
    <mergeCell ref="O2:P2"/>
    <mergeCell ref="Q2:R2"/>
    <mergeCell ref="S2:T2"/>
    <mergeCell ref="U2:V2"/>
    <mergeCell ref="Y2:Z2"/>
    <mergeCell ref="AA2:AB2"/>
    <mergeCell ref="W2:X2"/>
    <mergeCell ref="AA1:AB1"/>
    <mergeCell ref="AC1:AD1"/>
    <mergeCell ref="BZ3:CA3"/>
    <mergeCell ref="CE4:CJ12"/>
    <mergeCell ref="BW6:BY6"/>
    <mergeCell ref="BZ6:CA6"/>
    <mergeCell ref="BW7:BY7"/>
    <mergeCell ref="BZ7:CA7"/>
    <mergeCell ref="BW8:BY8"/>
    <mergeCell ref="BZ8:CA8"/>
    <mergeCell ref="BW9:BY9"/>
    <mergeCell ref="BZ9:CA9"/>
    <mergeCell ref="BW10:BY10"/>
    <mergeCell ref="BZ10:CA10"/>
    <mergeCell ref="BW13:BY13"/>
    <mergeCell ref="BZ13:CA13"/>
    <mergeCell ref="BW17:BY17"/>
    <mergeCell ref="BZ17:CA17"/>
    <mergeCell ref="CB17:CC17"/>
    <mergeCell ref="CE17:CJ20"/>
    <mergeCell ref="BW14:BY14"/>
    <mergeCell ref="BZ14:CA14"/>
    <mergeCell ref="CB14:CC14"/>
    <mergeCell ref="CE14:CJ16"/>
    <mergeCell ref="BW15:BY15"/>
    <mergeCell ref="BZ15:CA15"/>
    <mergeCell ref="CB15:CC15"/>
    <mergeCell ref="BW16:BY16"/>
    <mergeCell ref="BZ16:CA16"/>
    <mergeCell ref="CB16:CC16"/>
  </mergeCells>
  <conditionalFormatting sqref="C1 E1 G1 I1 K1 M1 O1 Q1 S1 U1 W1 Y1 AA1 AC1">
    <cfRule type="expression" dxfId="19" priority="19">
      <formula>C$1="NÃO"</formula>
    </cfRule>
    <cfRule type="expression" dxfId="18" priority="20">
      <formula>C$1="SIM"</formula>
    </cfRule>
  </conditionalFormatting>
  <conditionalFormatting sqref="C3:C18">
    <cfRule type="expression" dxfId="17" priority="16">
      <formula>$C$1="NÃO"</formula>
    </cfRule>
  </conditionalFormatting>
  <conditionalFormatting sqref="E3:E18">
    <cfRule type="expression" dxfId="16" priority="15">
      <formula>$E$1="NÃO"</formula>
    </cfRule>
  </conditionalFormatting>
  <conditionalFormatting sqref="G3:G18">
    <cfRule type="expression" dxfId="15" priority="14">
      <formula>$G$1="NÃO"</formula>
    </cfRule>
  </conditionalFormatting>
  <conditionalFormatting sqref="I3:I18">
    <cfRule type="expression" dxfId="14" priority="13">
      <formula>$I$1="NÃO"</formula>
    </cfRule>
  </conditionalFormatting>
  <conditionalFormatting sqref="M3:M18">
    <cfRule type="expression" dxfId="13" priority="12">
      <formula>$M$1="NÃO"</formula>
    </cfRule>
  </conditionalFormatting>
  <conditionalFormatting sqref="O3:O18">
    <cfRule type="expression" dxfId="12" priority="11">
      <formula>$O$1="NÃO"</formula>
    </cfRule>
  </conditionalFormatting>
  <conditionalFormatting sqref="Q3:Q18">
    <cfRule type="expression" dxfId="11" priority="10">
      <formula>$Q$1="NÃO"</formula>
    </cfRule>
  </conditionalFormatting>
  <conditionalFormatting sqref="S3:S18">
    <cfRule type="expression" dxfId="10" priority="9">
      <formula>$S$1="NÃO"</formula>
    </cfRule>
  </conditionalFormatting>
  <conditionalFormatting sqref="U3:U18">
    <cfRule type="expression" dxfId="9" priority="8">
      <formula>$U$1="NÃO"</formula>
    </cfRule>
  </conditionalFormatting>
  <conditionalFormatting sqref="W3:W18">
    <cfRule type="expression" dxfId="8" priority="7">
      <formula>$W$1="NÃO"</formula>
    </cfRule>
  </conditionalFormatting>
  <conditionalFormatting sqref="Y3:Y18">
    <cfRule type="expression" dxfId="7" priority="6">
      <formula>$Y$1="NÃO"</formula>
    </cfRule>
  </conditionalFormatting>
  <conditionalFormatting sqref="AA3:AA18">
    <cfRule type="expression" dxfId="6" priority="5">
      <formula>$AA$1="NÃO"</formula>
    </cfRule>
  </conditionalFormatting>
  <conditionalFormatting sqref="AC3:AC18">
    <cfRule type="expression" dxfId="5" priority="4">
      <formula>$AC$1="NÃO"</formula>
    </cfRule>
  </conditionalFormatting>
  <conditionalFormatting sqref="AW1:BI1">
    <cfRule type="expression" dxfId="4" priority="17">
      <formula>AW$1="NÃO"</formula>
    </cfRule>
    <cfRule type="expression" dxfId="3" priority="18">
      <formula>AW$1="SIM"</formula>
    </cfRule>
  </conditionalFormatting>
  <conditionalFormatting sqref="BP3:BP17">
    <cfRule type="expression" dxfId="2" priority="1">
      <formula>$BP3 = "REJEITADO"</formula>
    </cfRule>
  </conditionalFormatting>
  <conditionalFormatting sqref="BR3:BR17">
    <cfRule type="expression" dxfId="1" priority="2">
      <formula>$BR3="Não"</formula>
    </cfRule>
    <cfRule type="expression" dxfId="0" priority="3">
      <formula>$BR3="Sim"</formula>
    </cfRule>
  </conditionalFormatting>
  <dataValidations count="8">
    <dataValidation type="list" allowBlank="1" showInputMessage="1" showErrorMessage="1" sqref="AC2" xr:uid="{2C8E73D3-9B9B-455C-8843-55DA8DFAD83E}">
      <formula1>"Andar Res,Andar Com"</formula1>
    </dataValidation>
    <dataValidation type="list" allowBlank="1" showInputMessage="1" showErrorMessage="1" sqref="AA3:AA18" xr:uid="{7BB13672-7F6C-439D-ABF1-9DD3C25ACD8B}">
      <formula1>"0,1,2,3,4,5,6,7,8,9,10"</formula1>
      <formula2>0</formula2>
    </dataValidation>
    <dataValidation type="list" allowBlank="1" showInputMessage="1" showErrorMessage="1" sqref="AG3:AG18" xr:uid="{1E2519C9-ED7D-43B3-857A-FFBC84B6689D}">
      <mc:AlternateContent xmlns:x12ac="http://schemas.microsoft.com/office/spreadsheetml/2011/1/ac" xmlns:mc="http://schemas.openxmlformats.org/markup-compatibility/2006">
        <mc:Choice Requires="x12ac">
          <x12ac:list>1,"0,95","0,9","0,85","0,80"</x12ac:list>
        </mc:Choice>
        <mc:Fallback>
          <formula1>"1,0,95,0,9,0,85,0,80"</formula1>
        </mc:Fallback>
      </mc:AlternateContent>
    </dataValidation>
    <dataValidation type="list" allowBlank="1" showInputMessage="1" showErrorMessage="1" sqref="M1 AC1 O1 Q1 S1 U1 W1 Y1 C1 E1 G1 I1 K1 AA1" xr:uid="{922F9F1B-E020-4A1A-87DC-74BEF8FC5B90}">
      <formula1>"SIM,NÃO"</formula1>
    </dataValidation>
    <dataValidation type="list" allowBlank="1" showInputMessage="1" showErrorMessage="1" sqref="AH1" xr:uid="{B6E44781-886A-4BBD-B162-F3A58DF5E030}">
      <formula1>"Terreno,Construída"</formula1>
    </dataValidation>
    <dataValidation type="list" allowBlank="1" showInputMessage="1" showErrorMessage="1" sqref="BR3:BR17" xr:uid="{7AC694F3-0BE9-419F-9D89-0E1FBDE9F6D5}">
      <formula1>"Sim,Não"</formula1>
    </dataValidation>
    <dataValidation type="list" allowBlank="1" showInputMessage="1" showErrorMessage="1" sqref="C3:C18" xr:uid="{91D91EFB-72E8-49F8-892D-34EBC2965CAC}">
      <mc:AlternateContent xmlns:x12ac="http://schemas.microsoft.com/office/spreadsheetml/2011/1/ac" xmlns:mc="http://schemas.openxmlformats.org/markup-compatibility/2006">
        <mc:Choice Requires="x12ac">
          <x12ac:list>"0,5","0,6","0,7","0,8","0,9","1,0","1,1","1,2","1,3","1,4","1,5","1,6","1,7","1,8","1,9","2,0"</x12ac:list>
        </mc:Choice>
        <mc:Fallback>
          <formula1>"0,5,0,6,0,7,0,8,0,9,1,0,1,1,1,2,1,3,1,4,1,5,1,6,1,7,1,8,1,9,2,0"</formula1>
        </mc:Fallback>
      </mc:AlternateContent>
    </dataValidation>
    <dataValidation type="list" allowBlank="1" showInputMessage="1" showErrorMessage="1" sqref="AH21" xr:uid="{E5AB49ED-9933-4D57-8E78-DD56D8F1582C}">
      <formula1>"Valor,Valor Unitário,Valor Unitário * fon,Valor Unitário hom"</formula1>
    </dataValidation>
  </dataValidation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8043E7A-4F3A-493D-BC14-CD3ABAC0BEC0}">
          <x14:formula1>
            <xm:f>Dicionários!$O$2:$O$22</xm:f>
          </x14:formula1>
          <xm:sqref>AC3:AC18</xm:sqref>
        </x14:dataValidation>
        <x14:dataValidation type="list" allowBlank="1" showInputMessage="1" showErrorMessage="1" xr:uid="{9A0886A7-2130-44B3-AA24-2085E3BC1336}">
          <x14:formula1>
            <xm:f>Dicionários!$A$2:$A$22</xm:f>
          </x14:formula1>
          <xm:sqref>M3:M18</xm:sqref>
        </x14:dataValidation>
        <x14:dataValidation type="list" allowBlank="1" showInputMessage="1" showErrorMessage="1" xr:uid="{12A90139-E6A3-44EE-87F6-EBEDBBC66D91}">
          <x14:formula1>
            <xm:f>Dicionários!$C$2:$C$22</xm:f>
          </x14:formula1>
          <xm:sqref>O3:O18</xm:sqref>
        </x14:dataValidation>
        <x14:dataValidation type="list" allowBlank="1" showInputMessage="1" showErrorMessage="1" xr:uid="{FD96500E-5CC4-4028-958D-E1C2AF47EEE9}">
          <x14:formula1>
            <xm:f>Dicionários!$E$2:$E$22</xm:f>
          </x14:formula1>
          <xm:sqref>Q3:Q18</xm:sqref>
        </x14:dataValidation>
        <x14:dataValidation type="list" allowBlank="1" showInputMessage="1" showErrorMessage="1" xr:uid="{ED4D0B48-C8F3-4119-ABAD-17FB66146926}">
          <x14:formula1>
            <xm:f>Dicionários!$G$2:$G$22</xm:f>
          </x14:formula1>
          <xm:sqref>S3:S18</xm:sqref>
        </x14:dataValidation>
        <x14:dataValidation type="list" allowBlank="1" showInputMessage="1" showErrorMessage="1" xr:uid="{BF704CB4-E7A5-4171-A18E-5CE88565C2D6}">
          <x14:formula1>
            <xm:f>Dicionários!$I$2:$I$22</xm:f>
          </x14:formula1>
          <xm:sqref>U3:U18</xm:sqref>
        </x14:dataValidation>
        <x14:dataValidation type="list" allowBlank="1" showInputMessage="1" showErrorMessage="1" xr:uid="{6E12DDA2-5DAF-4933-AB96-65AD2B109599}">
          <x14:formula1>
            <xm:f>Dicionários!$K$2:$K$22</xm:f>
          </x14:formula1>
          <xm:sqref>W3:W18</xm:sqref>
        </x14:dataValidation>
        <x14:dataValidation type="list" allowBlank="1" showInputMessage="1" showErrorMessage="1" xr:uid="{B5D7E390-329F-42C3-9FE4-07F816554BE0}">
          <x14:formula1>
            <xm:f>Dicionários!$M$2:$M$22</xm:f>
          </x14:formula1>
          <xm:sqref>Y3:Y18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8"/>
  <sheetViews>
    <sheetView showGridLines="0" zoomScale="90" zoomScaleNormal="90" workbookViewId="0">
      <selection activeCell="L39" sqref="L39"/>
    </sheetView>
  </sheetViews>
  <sheetFormatPr defaultColWidth="42.7109375" defaultRowHeight="15" x14ac:dyDescent="0.25"/>
  <cols>
    <col min="1" max="1" width="18.140625" customWidth="1"/>
    <col min="2" max="2" width="5.5703125" bestFit="1" customWidth="1"/>
    <col min="3" max="3" width="23" bestFit="1" customWidth="1"/>
    <col min="4" max="4" width="5.5703125" bestFit="1" customWidth="1"/>
    <col min="5" max="5" width="18.85546875" bestFit="1" customWidth="1"/>
    <col min="6" max="6" width="5.5703125" bestFit="1" customWidth="1"/>
    <col min="7" max="7" width="15.7109375" bestFit="1" customWidth="1"/>
    <col min="8" max="8" width="5.5703125" bestFit="1" customWidth="1"/>
    <col min="9" max="9" width="14" bestFit="1" customWidth="1"/>
    <col min="10" max="10" width="5.5703125" bestFit="1" customWidth="1"/>
    <col min="11" max="11" width="34.28515625" bestFit="1" customWidth="1"/>
    <col min="12" max="12" width="5.5703125" bestFit="1" customWidth="1"/>
    <col min="13" max="13" width="17.85546875" bestFit="1" customWidth="1"/>
    <col min="14" max="14" width="5.5703125" bestFit="1" customWidth="1"/>
    <col min="15" max="15" width="7.42578125" bestFit="1" customWidth="1"/>
    <col min="16" max="17" width="7" customWidth="1"/>
    <col min="18" max="18" width="4" customWidth="1"/>
    <col min="19" max="19" width="23.140625" bestFit="1" customWidth="1"/>
    <col min="20" max="20" width="20.42578125" customWidth="1"/>
    <col min="21" max="21" width="4" customWidth="1"/>
    <col min="22" max="22" width="23.140625" bestFit="1" customWidth="1"/>
    <col min="23" max="23" width="7.28515625" bestFit="1" customWidth="1"/>
  </cols>
  <sheetData>
    <row r="1" spans="1:23" ht="30" customHeight="1" x14ac:dyDescent="0.25">
      <c r="A1" s="9" t="s">
        <v>124</v>
      </c>
      <c r="B1" s="10" t="s">
        <v>184</v>
      </c>
      <c r="C1" s="9" t="s">
        <v>88</v>
      </c>
      <c r="D1" s="10" t="s">
        <v>184</v>
      </c>
      <c r="E1" s="9" t="s">
        <v>77</v>
      </c>
      <c r="F1" s="10" t="s">
        <v>184</v>
      </c>
      <c r="G1" s="9" t="s">
        <v>125</v>
      </c>
      <c r="H1" s="10" t="s">
        <v>184</v>
      </c>
      <c r="I1" s="9" t="s">
        <v>118</v>
      </c>
      <c r="J1" s="10" t="s">
        <v>184</v>
      </c>
      <c r="K1" s="9" t="s">
        <v>119</v>
      </c>
      <c r="L1" s="10" t="s">
        <v>184</v>
      </c>
      <c r="M1" s="9" t="s">
        <v>0</v>
      </c>
      <c r="N1" s="10" t="s">
        <v>184</v>
      </c>
      <c r="O1" s="9" t="s">
        <v>133</v>
      </c>
      <c r="P1" s="10" t="s">
        <v>184</v>
      </c>
      <c r="Q1" s="10" t="s">
        <v>184</v>
      </c>
      <c r="S1" s="174" t="s">
        <v>186</v>
      </c>
      <c r="T1" s="175"/>
      <c r="U1" s="33"/>
      <c r="V1" s="176" t="s">
        <v>198</v>
      </c>
      <c r="W1" s="176"/>
    </row>
    <row r="2" spans="1:23" ht="14.25" customHeight="1" x14ac:dyDescent="0.25">
      <c r="A2" s="3" t="s">
        <v>64</v>
      </c>
      <c r="B2" s="4">
        <v>1</v>
      </c>
      <c r="C2" s="3" t="s">
        <v>132</v>
      </c>
      <c r="D2" s="4">
        <v>1.1000000000000001</v>
      </c>
      <c r="E2" s="3" t="s">
        <v>89</v>
      </c>
      <c r="F2" s="4">
        <v>1</v>
      </c>
      <c r="G2" s="3" t="s">
        <v>102</v>
      </c>
      <c r="H2" s="4">
        <v>1</v>
      </c>
      <c r="I2" s="3" t="s">
        <v>112</v>
      </c>
      <c r="J2" s="4">
        <v>1</v>
      </c>
      <c r="K2" s="3" t="s">
        <v>41</v>
      </c>
      <c r="L2" s="4">
        <v>1</v>
      </c>
      <c r="M2" s="3" t="s">
        <v>280</v>
      </c>
      <c r="N2" s="4">
        <v>1</v>
      </c>
      <c r="O2" s="11" t="s">
        <v>134</v>
      </c>
      <c r="P2" s="136">
        <v>1</v>
      </c>
      <c r="Q2" s="139">
        <v>1</v>
      </c>
      <c r="S2" s="29" t="s">
        <v>240</v>
      </c>
      <c r="T2" s="30" t="s">
        <v>185</v>
      </c>
      <c r="V2" s="29" t="s">
        <v>240</v>
      </c>
      <c r="W2" s="31">
        <v>0.8</v>
      </c>
    </row>
    <row r="3" spans="1:23" ht="14.25" customHeight="1" x14ac:dyDescent="0.25">
      <c r="A3" s="3" t="s">
        <v>159</v>
      </c>
      <c r="B3" s="4">
        <v>0.95</v>
      </c>
      <c r="C3" s="3" t="s">
        <v>131</v>
      </c>
      <c r="D3" s="4">
        <v>1</v>
      </c>
      <c r="E3" s="3" t="s">
        <v>128</v>
      </c>
      <c r="F3" s="4">
        <v>0.9</v>
      </c>
      <c r="G3" s="3" t="s">
        <v>103</v>
      </c>
      <c r="H3" s="4">
        <v>0.9</v>
      </c>
      <c r="I3" s="3" t="s">
        <v>113</v>
      </c>
      <c r="J3" s="4">
        <v>0.95</v>
      </c>
      <c r="K3" s="3" t="s">
        <v>42</v>
      </c>
      <c r="L3" s="4">
        <v>0.95</v>
      </c>
      <c r="M3" s="3" t="s">
        <v>163</v>
      </c>
      <c r="N3" s="4">
        <v>1.1499999999999999</v>
      </c>
      <c r="O3" s="3" t="s">
        <v>135</v>
      </c>
      <c r="P3" s="137">
        <f>ROUND(P2+P2*0.0105,3)</f>
        <v>1.0109999999999999</v>
      </c>
      <c r="Q3" s="140">
        <f>ROUND(Q2+Q2*0.02,3)</f>
        <v>1.02</v>
      </c>
      <c r="S3" s="29">
        <v>2</v>
      </c>
      <c r="T3" s="30">
        <v>1.1499999999999999</v>
      </c>
      <c r="V3" s="32">
        <v>1</v>
      </c>
      <c r="W3" s="32">
        <v>3.0779999999999998</v>
      </c>
    </row>
    <row r="4" spans="1:23" ht="14.25" customHeight="1" x14ac:dyDescent="0.25">
      <c r="A4" s="3" t="s">
        <v>160</v>
      </c>
      <c r="B4" s="4">
        <v>0.9</v>
      </c>
      <c r="C4" s="3" t="s">
        <v>130</v>
      </c>
      <c r="D4" s="4">
        <v>0.8</v>
      </c>
      <c r="E4" s="3" t="s">
        <v>129</v>
      </c>
      <c r="F4" s="4">
        <v>0.7</v>
      </c>
      <c r="G4" s="3" t="s">
        <v>104</v>
      </c>
      <c r="H4" s="4">
        <v>0.8</v>
      </c>
      <c r="I4" s="3" t="s">
        <v>114</v>
      </c>
      <c r="J4" s="4">
        <v>0.9</v>
      </c>
      <c r="K4" s="3" t="s">
        <v>177</v>
      </c>
      <c r="L4" s="4">
        <v>0.8</v>
      </c>
      <c r="M4" s="3" t="s">
        <v>279</v>
      </c>
      <c r="N4" s="4">
        <v>1.3</v>
      </c>
      <c r="O4" s="3" t="s">
        <v>136</v>
      </c>
      <c r="P4" s="137">
        <f t="shared" ref="P4:P22" si="0">ROUND(P3+P3*0.0105,3)</f>
        <v>1.022</v>
      </c>
      <c r="Q4" s="140">
        <f t="shared" ref="Q4:Q22" si="1">ROUND(Q3+Q3*0.02,3)</f>
        <v>1.04</v>
      </c>
      <c r="S4" s="29">
        <v>3</v>
      </c>
      <c r="T4" s="30">
        <v>1.38</v>
      </c>
      <c r="V4" s="32">
        <v>2</v>
      </c>
      <c r="W4" s="32">
        <v>1.8859999999999999</v>
      </c>
    </row>
    <row r="5" spans="1:23" ht="14.25" customHeight="1" x14ac:dyDescent="0.25">
      <c r="A5" s="3" t="s">
        <v>161</v>
      </c>
      <c r="B5" s="4">
        <v>0.85</v>
      </c>
      <c r="C5" s="3"/>
      <c r="D5" s="4"/>
      <c r="E5" s="3" t="s">
        <v>90</v>
      </c>
      <c r="F5" s="4">
        <v>0.6</v>
      </c>
      <c r="G5" s="3"/>
      <c r="H5" s="4">
        <v>1</v>
      </c>
      <c r="I5" s="3" t="s">
        <v>115</v>
      </c>
      <c r="J5" s="4">
        <v>0.8</v>
      </c>
      <c r="K5" s="3" t="s">
        <v>174</v>
      </c>
      <c r="L5" s="4">
        <v>0.45</v>
      </c>
      <c r="M5" s="3" t="s">
        <v>164</v>
      </c>
      <c r="N5" s="4">
        <v>1.45</v>
      </c>
      <c r="O5" s="3" t="s">
        <v>137</v>
      </c>
      <c r="P5" s="137">
        <f t="shared" si="0"/>
        <v>1.0329999999999999</v>
      </c>
      <c r="Q5" s="140">
        <f t="shared" si="1"/>
        <v>1.0609999999999999</v>
      </c>
      <c r="S5" s="29">
        <v>4</v>
      </c>
      <c r="T5" s="30">
        <v>1.54</v>
      </c>
      <c r="V5" s="32">
        <v>3</v>
      </c>
      <c r="W5" s="32">
        <v>1.6379999999999999</v>
      </c>
    </row>
    <row r="6" spans="1:23" ht="14.25" customHeight="1" x14ac:dyDescent="0.25">
      <c r="A6" s="3" t="s">
        <v>162</v>
      </c>
      <c r="B6" s="4">
        <v>0.8</v>
      </c>
      <c r="C6" s="3"/>
      <c r="D6" s="4"/>
      <c r="E6" s="3"/>
      <c r="F6" s="4"/>
      <c r="G6" s="3"/>
      <c r="H6" s="4"/>
      <c r="I6" s="3" t="s">
        <v>116</v>
      </c>
      <c r="J6" s="4">
        <v>0.75</v>
      </c>
      <c r="K6" s="3" t="s">
        <v>167</v>
      </c>
      <c r="L6" s="4">
        <v>0.95</v>
      </c>
      <c r="M6" s="3" t="s">
        <v>281</v>
      </c>
      <c r="N6" s="4">
        <v>1.65</v>
      </c>
      <c r="O6" s="3" t="s">
        <v>138</v>
      </c>
      <c r="P6" s="137">
        <f t="shared" si="0"/>
        <v>1.044</v>
      </c>
      <c r="Q6" s="140">
        <f t="shared" si="1"/>
        <v>1.0820000000000001</v>
      </c>
      <c r="S6" s="29">
        <v>5</v>
      </c>
      <c r="T6" s="30">
        <v>1.65</v>
      </c>
      <c r="V6" s="32">
        <v>4</v>
      </c>
      <c r="W6" s="32">
        <v>1.5329999999999999</v>
      </c>
    </row>
    <row r="7" spans="1:23" ht="14.25" customHeight="1" x14ac:dyDescent="0.25">
      <c r="A7" s="3"/>
      <c r="B7" s="4"/>
      <c r="C7" s="3"/>
      <c r="D7" s="4"/>
      <c r="E7" s="3"/>
      <c r="F7" s="4"/>
      <c r="G7" s="3"/>
      <c r="H7" s="4"/>
      <c r="I7" s="3" t="s">
        <v>117</v>
      </c>
      <c r="J7" s="4">
        <v>0.7</v>
      </c>
      <c r="K7" s="3" t="s">
        <v>168</v>
      </c>
      <c r="L7" s="4">
        <v>0.9</v>
      </c>
      <c r="M7" s="3" t="s">
        <v>282</v>
      </c>
      <c r="N7" s="4">
        <v>1</v>
      </c>
      <c r="O7" s="3" t="s">
        <v>139</v>
      </c>
      <c r="P7" s="137">
        <f t="shared" si="0"/>
        <v>1.0549999999999999</v>
      </c>
      <c r="Q7" s="140">
        <f t="shared" si="1"/>
        <v>1.1040000000000001</v>
      </c>
      <c r="S7" s="29">
        <v>6</v>
      </c>
      <c r="T7" s="30">
        <v>1.73</v>
      </c>
      <c r="V7" s="32">
        <v>5</v>
      </c>
      <c r="W7" s="32">
        <v>1.476</v>
      </c>
    </row>
    <row r="8" spans="1:23" ht="14.25" customHeight="1" x14ac:dyDescent="0.25">
      <c r="A8" s="5"/>
      <c r="B8" s="6"/>
      <c r="C8" s="5"/>
      <c r="D8" s="6"/>
      <c r="E8" s="5"/>
      <c r="F8" s="6"/>
      <c r="G8" s="5"/>
      <c r="H8" s="6"/>
      <c r="I8" s="5"/>
      <c r="J8" s="6"/>
      <c r="K8" s="5" t="s">
        <v>178</v>
      </c>
      <c r="L8" s="6">
        <v>0.75</v>
      </c>
      <c r="M8" s="5" t="s">
        <v>165</v>
      </c>
      <c r="N8" s="6">
        <v>1.08</v>
      </c>
      <c r="O8" s="3" t="s">
        <v>140</v>
      </c>
      <c r="P8" s="137">
        <f t="shared" si="0"/>
        <v>1.0660000000000001</v>
      </c>
      <c r="Q8" s="140">
        <f t="shared" si="1"/>
        <v>1.1259999999999999</v>
      </c>
      <c r="S8" s="29">
        <v>7</v>
      </c>
      <c r="T8" s="30">
        <v>1.8</v>
      </c>
      <c r="V8" s="32">
        <v>6</v>
      </c>
      <c r="W8" s="32">
        <v>1.44</v>
      </c>
    </row>
    <row r="9" spans="1:23" ht="14.25" customHeight="1" x14ac:dyDescent="0.25">
      <c r="A9" s="5"/>
      <c r="B9" s="6"/>
      <c r="C9" s="5"/>
      <c r="D9" s="6"/>
      <c r="E9" s="5"/>
      <c r="F9" s="6"/>
      <c r="G9" s="5"/>
      <c r="H9" s="6"/>
      <c r="I9" s="5"/>
      <c r="J9" s="6"/>
      <c r="K9" s="5" t="s">
        <v>179</v>
      </c>
      <c r="L9" s="6">
        <v>0.4</v>
      </c>
      <c r="M9" s="5" t="s">
        <v>283</v>
      </c>
      <c r="N9" s="6">
        <v>1.1499999999999999</v>
      </c>
      <c r="O9" s="3" t="s">
        <v>141</v>
      </c>
      <c r="P9" s="137">
        <f t="shared" si="0"/>
        <v>1.077</v>
      </c>
      <c r="Q9" s="140">
        <f t="shared" si="1"/>
        <v>1.149</v>
      </c>
      <c r="S9" s="29">
        <v>8</v>
      </c>
      <c r="T9" s="30">
        <v>1.85</v>
      </c>
      <c r="V9" s="32">
        <v>7</v>
      </c>
      <c r="W9" s="32">
        <v>1.415</v>
      </c>
    </row>
    <row r="10" spans="1:23" ht="14.25" customHeight="1" x14ac:dyDescent="0.25">
      <c r="A10" s="5"/>
      <c r="B10" s="6"/>
      <c r="C10" s="5"/>
      <c r="D10" s="6"/>
      <c r="E10" s="5"/>
      <c r="F10" s="6"/>
      <c r="G10" s="5"/>
      <c r="H10" s="6"/>
      <c r="I10" s="5"/>
      <c r="J10" s="6"/>
      <c r="K10" s="5" t="s">
        <v>169</v>
      </c>
      <c r="L10" s="6">
        <v>0.85</v>
      </c>
      <c r="M10" s="5" t="s">
        <v>166</v>
      </c>
      <c r="N10" s="6">
        <v>1.25</v>
      </c>
      <c r="O10" s="3" t="s">
        <v>142</v>
      </c>
      <c r="P10" s="137">
        <f t="shared" si="0"/>
        <v>1.0880000000000001</v>
      </c>
      <c r="Q10" s="140">
        <f t="shared" si="1"/>
        <v>1.1719999999999999</v>
      </c>
      <c r="S10" s="29">
        <v>9</v>
      </c>
      <c r="T10" s="30">
        <v>1.91</v>
      </c>
      <c r="V10" s="32">
        <v>8</v>
      </c>
      <c r="W10" s="32">
        <v>1.397</v>
      </c>
    </row>
    <row r="11" spans="1:23" ht="14.25" customHeight="1" x14ac:dyDescent="0.25">
      <c r="A11" s="5"/>
      <c r="B11" s="6"/>
      <c r="C11" s="5"/>
      <c r="D11" s="6"/>
      <c r="E11" s="5"/>
      <c r="F11" s="6"/>
      <c r="G11" s="5"/>
      <c r="H11" s="6"/>
      <c r="I11" s="5"/>
      <c r="J11" s="6"/>
      <c r="K11" s="5" t="s">
        <v>170</v>
      </c>
      <c r="L11" s="6">
        <v>0.8</v>
      </c>
      <c r="M11" s="5" t="s">
        <v>284</v>
      </c>
      <c r="N11" s="6">
        <v>1.4</v>
      </c>
      <c r="O11" s="3" t="s">
        <v>143</v>
      </c>
      <c r="P11" s="137">
        <f t="shared" si="0"/>
        <v>1.099</v>
      </c>
      <c r="Q11" s="140">
        <f t="shared" si="1"/>
        <v>1.1950000000000001</v>
      </c>
      <c r="S11" s="29">
        <v>10</v>
      </c>
      <c r="T11" s="30">
        <v>1.96</v>
      </c>
      <c r="V11" s="32">
        <v>9</v>
      </c>
      <c r="W11" s="32">
        <v>1.383</v>
      </c>
    </row>
    <row r="12" spans="1:23" ht="14.25" customHeight="1" x14ac:dyDescent="0.25">
      <c r="A12" s="5"/>
      <c r="B12" s="6"/>
      <c r="C12" s="5"/>
      <c r="D12" s="6"/>
      <c r="E12" s="5"/>
      <c r="F12" s="6"/>
      <c r="G12" s="5"/>
      <c r="H12" s="6"/>
      <c r="I12" s="5"/>
      <c r="J12" s="6"/>
      <c r="K12" s="5" t="s">
        <v>180</v>
      </c>
      <c r="L12" s="6">
        <v>0.65</v>
      </c>
      <c r="M12" s="5"/>
      <c r="N12" s="6"/>
      <c r="O12" s="3" t="s">
        <v>144</v>
      </c>
      <c r="P12" s="137">
        <f t="shared" si="0"/>
        <v>1.111</v>
      </c>
      <c r="Q12" s="140">
        <f t="shared" si="1"/>
        <v>1.2190000000000001</v>
      </c>
      <c r="S12" s="29">
        <v>11</v>
      </c>
      <c r="T12" s="30">
        <v>1.99</v>
      </c>
      <c r="V12" s="32">
        <v>10</v>
      </c>
      <c r="W12" s="32">
        <v>1.3720000000000001</v>
      </c>
    </row>
    <row r="13" spans="1:23" ht="14.25" customHeight="1" x14ac:dyDescent="0.25">
      <c r="A13" s="5"/>
      <c r="B13" s="6"/>
      <c r="C13" s="5"/>
      <c r="D13" s="6"/>
      <c r="E13" s="5"/>
      <c r="F13" s="6"/>
      <c r="G13" s="5"/>
      <c r="H13" s="6"/>
      <c r="I13" s="5"/>
      <c r="J13" s="6"/>
      <c r="K13" s="5" t="s">
        <v>181</v>
      </c>
      <c r="L13" s="6">
        <v>0.35</v>
      </c>
      <c r="M13" s="5"/>
      <c r="N13" s="6"/>
      <c r="O13" s="3" t="s">
        <v>145</v>
      </c>
      <c r="P13" s="137">
        <f t="shared" si="0"/>
        <v>1.123</v>
      </c>
      <c r="Q13" s="140">
        <f t="shared" si="1"/>
        <v>1.2430000000000001</v>
      </c>
      <c r="S13" s="29">
        <v>12</v>
      </c>
      <c r="T13" s="30">
        <v>2.0299999999999998</v>
      </c>
      <c r="V13" s="32">
        <v>11</v>
      </c>
      <c r="W13" s="32">
        <v>1.363</v>
      </c>
    </row>
    <row r="14" spans="1:23" ht="14.25" customHeight="1" x14ac:dyDescent="0.25">
      <c r="A14" s="5"/>
      <c r="B14" s="6"/>
      <c r="C14" s="5"/>
      <c r="D14" s="6"/>
      <c r="E14" s="5"/>
      <c r="F14" s="6"/>
      <c r="G14" s="5"/>
      <c r="H14" s="6"/>
      <c r="I14" s="5"/>
      <c r="J14" s="6"/>
      <c r="K14" s="5" t="s">
        <v>171</v>
      </c>
      <c r="L14" s="6">
        <v>0.55000000000000004</v>
      </c>
      <c r="M14" s="5"/>
      <c r="N14" s="6"/>
      <c r="O14" s="3" t="s">
        <v>146</v>
      </c>
      <c r="P14" s="137">
        <f t="shared" si="0"/>
        <v>1.135</v>
      </c>
      <c r="Q14" s="140">
        <f t="shared" si="1"/>
        <v>1.268</v>
      </c>
      <c r="S14" s="29">
        <v>13</v>
      </c>
      <c r="T14" s="30">
        <v>2.06</v>
      </c>
      <c r="V14" s="32">
        <v>12</v>
      </c>
      <c r="W14" s="32">
        <v>1.3560000000000001</v>
      </c>
    </row>
    <row r="15" spans="1:23" ht="14.25" customHeight="1" x14ac:dyDescent="0.25">
      <c r="A15" s="5"/>
      <c r="B15" s="6"/>
      <c r="C15" s="5"/>
      <c r="D15" s="6"/>
      <c r="E15" s="5"/>
      <c r="F15" s="6"/>
      <c r="G15" s="5"/>
      <c r="H15" s="6"/>
      <c r="I15" s="5"/>
      <c r="J15" s="6"/>
      <c r="K15" s="5" t="s">
        <v>172</v>
      </c>
      <c r="L15" s="6">
        <v>0.5</v>
      </c>
      <c r="M15" s="5"/>
      <c r="N15" s="6"/>
      <c r="O15" s="3" t="s">
        <v>147</v>
      </c>
      <c r="P15" s="137">
        <f t="shared" si="0"/>
        <v>1.147</v>
      </c>
      <c r="Q15" s="140">
        <f t="shared" si="1"/>
        <v>1.2929999999999999</v>
      </c>
      <c r="S15" s="29">
        <v>14</v>
      </c>
      <c r="T15" s="30">
        <v>2.1</v>
      </c>
      <c r="V15" s="32">
        <v>13</v>
      </c>
      <c r="W15" s="32">
        <v>1.35</v>
      </c>
    </row>
    <row r="16" spans="1:23" ht="14.25" customHeight="1" x14ac:dyDescent="0.25">
      <c r="A16" s="5"/>
      <c r="B16" s="6"/>
      <c r="C16" s="5"/>
      <c r="D16" s="6"/>
      <c r="E16" s="5"/>
      <c r="F16" s="6"/>
      <c r="G16" s="5"/>
      <c r="H16" s="6"/>
      <c r="I16" s="5"/>
      <c r="J16" s="6"/>
      <c r="K16" s="5" t="s">
        <v>182</v>
      </c>
      <c r="L16" s="6">
        <v>0.45</v>
      </c>
      <c r="M16" s="5"/>
      <c r="N16" s="6"/>
      <c r="O16" s="3" t="s">
        <v>148</v>
      </c>
      <c r="P16" s="137">
        <f t="shared" si="0"/>
        <v>1.159</v>
      </c>
      <c r="Q16" s="140">
        <f t="shared" si="1"/>
        <v>1.319</v>
      </c>
      <c r="S16" s="29">
        <v>15</v>
      </c>
      <c r="T16" s="30">
        <v>2.13</v>
      </c>
      <c r="V16" s="32">
        <v>14</v>
      </c>
      <c r="W16" s="32">
        <v>1.345</v>
      </c>
    </row>
    <row r="17" spans="1:23" ht="14.25" customHeight="1" x14ac:dyDescent="0.25">
      <c r="A17" s="5"/>
      <c r="B17" s="6"/>
      <c r="C17" s="5"/>
      <c r="D17" s="6"/>
      <c r="E17" s="5"/>
      <c r="F17" s="6"/>
      <c r="G17" s="5"/>
      <c r="H17" s="6"/>
      <c r="I17" s="5"/>
      <c r="J17" s="6"/>
      <c r="K17" s="5" t="s">
        <v>183</v>
      </c>
      <c r="L17" s="6">
        <v>0.25</v>
      </c>
      <c r="M17" s="5"/>
      <c r="N17" s="6"/>
      <c r="O17" s="3" t="s">
        <v>149</v>
      </c>
      <c r="P17" s="137">
        <f t="shared" si="0"/>
        <v>1.171</v>
      </c>
      <c r="Q17" s="140">
        <f t="shared" si="1"/>
        <v>1.345</v>
      </c>
      <c r="S17" s="29">
        <v>16</v>
      </c>
      <c r="T17" s="30">
        <v>2.16</v>
      </c>
      <c r="V17" s="32">
        <v>15</v>
      </c>
      <c r="W17" s="32">
        <v>1.341</v>
      </c>
    </row>
    <row r="18" spans="1:23" ht="14.25" customHeight="1" x14ac:dyDescent="0.25">
      <c r="A18" s="5"/>
      <c r="B18" s="6"/>
      <c r="C18" s="5"/>
      <c r="D18" s="6"/>
      <c r="E18" s="5"/>
      <c r="F18" s="6"/>
      <c r="G18" s="5"/>
      <c r="H18" s="6"/>
      <c r="I18" s="5"/>
      <c r="J18" s="6"/>
      <c r="K18" s="5" t="s">
        <v>51</v>
      </c>
      <c r="L18" s="6">
        <v>0.3</v>
      </c>
      <c r="M18" s="5"/>
      <c r="N18" s="6"/>
      <c r="O18" s="3" t="s">
        <v>150</v>
      </c>
      <c r="P18" s="137">
        <f t="shared" si="0"/>
        <v>1.1830000000000001</v>
      </c>
      <c r="Q18" s="140">
        <f t="shared" si="1"/>
        <v>1.3720000000000001</v>
      </c>
      <c r="S18" s="29">
        <v>17</v>
      </c>
      <c r="T18" s="30">
        <v>2.1800000000000002</v>
      </c>
      <c r="V18" s="32">
        <v>16</v>
      </c>
      <c r="W18" s="32">
        <v>1.337</v>
      </c>
    </row>
    <row r="19" spans="1:23" ht="14.25" customHeight="1" x14ac:dyDescent="0.25">
      <c r="A19" s="5"/>
      <c r="B19" s="6"/>
      <c r="C19" s="5"/>
      <c r="D19" s="6"/>
      <c r="E19" s="5"/>
      <c r="F19" s="6"/>
      <c r="G19" s="5"/>
      <c r="H19" s="6"/>
      <c r="I19" s="5"/>
      <c r="J19" s="6"/>
      <c r="K19" s="5" t="s">
        <v>50</v>
      </c>
      <c r="L19" s="6">
        <v>0.2</v>
      </c>
      <c r="M19" s="5"/>
      <c r="N19" s="6"/>
      <c r="O19" s="3" t="s">
        <v>151</v>
      </c>
      <c r="P19" s="137">
        <f t="shared" si="0"/>
        <v>1.1950000000000001</v>
      </c>
      <c r="Q19" s="140">
        <f t="shared" si="1"/>
        <v>1.399</v>
      </c>
      <c r="S19" s="29">
        <v>18</v>
      </c>
      <c r="T19" s="30">
        <v>2.2000000000000002</v>
      </c>
      <c r="V19" s="32">
        <v>17</v>
      </c>
      <c r="W19" s="32">
        <v>1.333</v>
      </c>
    </row>
    <row r="20" spans="1:23" ht="14.25" customHeight="1" x14ac:dyDescent="0.25">
      <c r="A20" s="5"/>
      <c r="B20" s="6"/>
      <c r="C20" s="5"/>
      <c r="D20" s="6"/>
      <c r="E20" s="5"/>
      <c r="F20" s="6"/>
      <c r="G20" s="5"/>
      <c r="H20" s="6"/>
      <c r="I20" s="5"/>
      <c r="J20" s="6"/>
      <c r="K20" s="5" t="s">
        <v>176</v>
      </c>
      <c r="L20" s="6">
        <v>0.15</v>
      </c>
      <c r="M20" s="5"/>
      <c r="N20" s="6"/>
      <c r="O20" s="3" t="s">
        <v>152</v>
      </c>
      <c r="P20" s="137">
        <f t="shared" si="0"/>
        <v>1.208</v>
      </c>
      <c r="Q20" s="140">
        <f t="shared" si="1"/>
        <v>1.427</v>
      </c>
      <c r="S20" s="29">
        <v>19</v>
      </c>
      <c r="T20" s="30">
        <v>2.21</v>
      </c>
      <c r="V20" s="32">
        <v>18</v>
      </c>
      <c r="W20" s="32">
        <v>1.33</v>
      </c>
    </row>
    <row r="21" spans="1:23" ht="14.25" customHeight="1" x14ac:dyDescent="0.25">
      <c r="A21" s="5"/>
      <c r="B21" s="6"/>
      <c r="C21" s="5"/>
      <c r="D21" s="6"/>
      <c r="E21" s="5"/>
      <c r="F21" s="6"/>
      <c r="G21" s="5"/>
      <c r="H21" s="6"/>
      <c r="I21" s="5"/>
      <c r="J21" s="6"/>
      <c r="K21" s="5" t="s">
        <v>175</v>
      </c>
      <c r="L21" s="6">
        <v>0.1</v>
      </c>
      <c r="M21" s="5"/>
      <c r="N21" s="6"/>
      <c r="O21" s="3" t="s">
        <v>153</v>
      </c>
      <c r="P21" s="137">
        <f t="shared" si="0"/>
        <v>1.2210000000000001</v>
      </c>
      <c r="Q21" s="140">
        <f t="shared" si="1"/>
        <v>1.456</v>
      </c>
      <c r="S21" s="29">
        <v>20</v>
      </c>
      <c r="T21" s="30">
        <v>2.2400000000000002</v>
      </c>
      <c r="V21" s="32">
        <v>19</v>
      </c>
      <c r="W21" s="32">
        <v>1.3280000000000001</v>
      </c>
    </row>
    <row r="22" spans="1:23" ht="14.25" customHeight="1" x14ac:dyDescent="0.25">
      <c r="A22" s="7"/>
      <c r="B22" s="8"/>
      <c r="C22" s="7"/>
      <c r="D22" s="8"/>
      <c r="E22" s="7"/>
      <c r="F22" s="8"/>
      <c r="G22" s="7"/>
      <c r="H22" s="8"/>
      <c r="I22" s="7"/>
      <c r="J22" s="8"/>
      <c r="K22" s="7"/>
      <c r="L22" s="8"/>
      <c r="M22" s="7"/>
      <c r="N22" s="8"/>
      <c r="O22" s="12" t="s">
        <v>154</v>
      </c>
      <c r="P22" s="138">
        <f t="shared" si="0"/>
        <v>1.234</v>
      </c>
      <c r="Q22" s="141">
        <f t="shared" si="1"/>
        <v>1.4850000000000001</v>
      </c>
      <c r="S22" s="29">
        <v>21</v>
      </c>
      <c r="T22" s="30">
        <v>2.2599999999999998</v>
      </c>
      <c r="V22" s="32">
        <v>20</v>
      </c>
      <c r="W22" s="32">
        <v>1.325</v>
      </c>
    </row>
    <row r="23" spans="1:23" x14ac:dyDescent="0.25">
      <c r="S23" s="29">
        <v>22</v>
      </c>
      <c r="T23" s="29">
        <v>2.2799999999999998</v>
      </c>
      <c r="V23" s="32">
        <v>21</v>
      </c>
      <c r="W23" s="32">
        <v>1.323</v>
      </c>
    </row>
    <row r="24" spans="1:23" x14ac:dyDescent="0.25">
      <c r="A24" t="s">
        <v>203</v>
      </c>
      <c r="S24" s="29">
        <v>23</v>
      </c>
      <c r="T24" s="29">
        <v>2.2999999999999998</v>
      </c>
      <c r="V24" s="32">
        <v>22</v>
      </c>
      <c r="W24" s="32">
        <v>1.321</v>
      </c>
    </row>
    <row r="25" spans="1:23" x14ac:dyDescent="0.25">
      <c r="S25" s="29">
        <v>24</v>
      </c>
      <c r="T25" s="29">
        <v>2.31</v>
      </c>
      <c r="V25" s="32">
        <v>23</v>
      </c>
      <c r="W25" s="32">
        <v>1.319</v>
      </c>
    </row>
    <row r="26" spans="1:23" x14ac:dyDescent="0.25">
      <c r="S26" s="29">
        <v>25</v>
      </c>
      <c r="T26" s="29">
        <v>2.33</v>
      </c>
      <c r="V26" s="32">
        <v>24</v>
      </c>
      <c r="W26" s="32">
        <v>1.3180000000000001</v>
      </c>
    </row>
    <row r="27" spans="1:23" x14ac:dyDescent="0.25">
      <c r="S27" s="29">
        <v>26</v>
      </c>
      <c r="T27" s="29">
        <v>2.35</v>
      </c>
      <c r="V27" s="32">
        <v>25</v>
      </c>
      <c r="W27" s="32">
        <v>1.3160000000000001</v>
      </c>
    </row>
    <row r="28" spans="1:23" x14ac:dyDescent="0.25">
      <c r="S28" s="29">
        <v>27</v>
      </c>
      <c r="T28" s="29">
        <v>2.36</v>
      </c>
      <c r="V28" s="32">
        <v>26</v>
      </c>
      <c r="W28" s="32">
        <v>1.3149999999999999</v>
      </c>
    </row>
    <row r="29" spans="1:23" x14ac:dyDescent="0.25">
      <c r="S29" s="29">
        <v>28</v>
      </c>
      <c r="T29" s="29">
        <v>2.37</v>
      </c>
      <c r="V29" s="32">
        <v>27</v>
      </c>
      <c r="W29" s="32">
        <v>1.3140000000000001</v>
      </c>
    </row>
    <row r="30" spans="1:23" x14ac:dyDescent="0.25">
      <c r="S30" s="29">
        <v>29</v>
      </c>
      <c r="T30" s="29">
        <v>2.38</v>
      </c>
      <c r="V30" s="32">
        <v>28</v>
      </c>
      <c r="W30" s="32">
        <v>1.3129999999999999</v>
      </c>
    </row>
    <row r="31" spans="1:23" x14ac:dyDescent="0.25">
      <c r="S31" s="29">
        <v>30</v>
      </c>
      <c r="T31" s="29">
        <v>2.93</v>
      </c>
      <c r="V31" s="32">
        <v>29</v>
      </c>
      <c r="W31" s="32">
        <v>1.3109999999999999</v>
      </c>
    </row>
    <row r="32" spans="1:23" x14ac:dyDescent="0.25">
      <c r="V32" s="32">
        <v>30</v>
      </c>
      <c r="W32" s="32">
        <v>1.31</v>
      </c>
    </row>
    <row r="33" spans="22:23" x14ac:dyDescent="0.25">
      <c r="V33" s="32">
        <v>40</v>
      </c>
      <c r="W33" s="32">
        <v>1.3029999999999999</v>
      </c>
    </row>
    <row r="34" spans="22:23" x14ac:dyDescent="0.25">
      <c r="V34" s="32">
        <v>50</v>
      </c>
      <c r="W34" s="32">
        <v>1.2989999999999999</v>
      </c>
    </row>
    <row r="35" spans="22:23" x14ac:dyDescent="0.25">
      <c r="V35" s="32">
        <v>60</v>
      </c>
      <c r="W35" s="32">
        <v>1.296</v>
      </c>
    </row>
    <row r="36" spans="22:23" x14ac:dyDescent="0.25">
      <c r="V36" s="32">
        <v>80</v>
      </c>
      <c r="W36" s="32">
        <v>1.292</v>
      </c>
    </row>
    <row r="37" spans="22:23" x14ac:dyDescent="0.25">
      <c r="V37" s="32">
        <v>100</v>
      </c>
      <c r="W37" s="32">
        <v>1.29</v>
      </c>
    </row>
    <row r="38" spans="22:23" x14ac:dyDescent="0.25">
      <c r="V38" s="32">
        <v>120</v>
      </c>
      <c r="W38" s="32">
        <v>1.2889999999999999</v>
      </c>
    </row>
  </sheetData>
  <mergeCells count="2">
    <mergeCell ref="S1:T1"/>
    <mergeCell ref="V1:W1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AA0D-A83B-433B-AE2A-6BE88A0A02BE}">
  <dimension ref="B1:C3"/>
  <sheetViews>
    <sheetView workbookViewId="0">
      <selection activeCell="E6" sqref="E6"/>
    </sheetView>
  </sheetViews>
  <sheetFormatPr defaultRowHeight="15" x14ac:dyDescent="0.25"/>
  <cols>
    <col min="2" max="2" width="19.7109375" bestFit="1" customWidth="1"/>
  </cols>
  <sheetData>
    <row r="1" spans="2:3" x14ac:dyDescent="0.25">
      <c r="B1" t="s">
        <v>259</v>
      </c>
      <c r="C1" t="s">
        <v>260</v>
      </c>
    </row>
    <row r="2" spans="2:3" x14ac:dyDescent="0.25">
      <c r="B2" t="s">
        <v>274</v>
      </c>
      <c r="C2" t="s">
        <v>275</v>
      </c>
    </row>
    <row r="3" spans="2:3" x14ac:dyDescent="0.25">
      <c r="B3" t="s">
        <v>276</v>
      </c>
      <c r="C3" t="s">
        <v>277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topLeftCell="A2" zoomScale="115" zoomScaleNormal="115" workbookViewId="0">
      <selection activeCell="E6" sqref="E6"/>
    </sheetView>
  </sheetViews>
  <sheetFormatPr defaultRowHeight="11.25" x14ac:dyDescent="0.2"/>
  <cols>
    <col min="1" max="13" width="12.28515625" style="1" customWidth="1"/>
    <col min="14" max="1028" width="8.7109375" style="1" customWidth="1"/>
    <col min="1029" max="16384" width="9.140625" style="1"/>
  </cols>
  <sheetData>
    <row r="1" spans="1:14" x14ac:dyDescent="0.2">
      <c r="A1" s="1" t="s">
        <v>41</v>
      </c>
      <c r="B1" s="1" t="s">
        <v>13</v>
      </c>
      <c r="C1" s="1" t="s">
        <v>64</v>
      </c>
      <c r="D1" s="1" t="s">
        <v>83</v>
      </c>
      <c r="E1" s="1" t="s">
        <v>89</v>
      </c>
      <c r="F1" s="1" t="s">
        <v>102</v>
      </c>
      <c r="G1" s="1" t="s">
        <v>112</v>
      </c>
      <c r="H1" s="1" t="s">
        <v>1</v>
      </c>
      <c r="I1" s="1" t="s">
        <v>2</v>
      </c>
      <c r="J1" s="1" t="s">
        <v>63</v>
      </c>
      <c r="K1" s="1" t="s">
        <v>97</v>
      </c>
      <c r="L1" s="1" t="s">
        <v>78</v>
      </c>
      <c r="M1" s="1" t="s">
        <v>98</v>
      </c>
      <c r="N1" s="1" t="s">
        <v>105</v>
      </c>
    </row>
    <row r="2" spans="1:14" x14ac:dyDescent="0.2">
      <c r="A2" s="1" t="s">
        <v>42</v>
      </c>
      <c r="B2" s="1" t="s">
        <v>12</v>
      </c>
      <c r="C2" s="1" t="s">
        <v>66</v>
      </c>
      <c r="D2" s="1" t="s">
        <v>84</v>
      </c>
      <c r="E2" s="1" t="s">
        <v>93</v>
      </c>
      <c r="F2" s="1" t="s">
        <v>103</v>
      </c>
      <c r="G2" s="1" t="s">
        <v>113</v>
      </c>
      <c r="H2" s="1" t="s">
        <v>22</v>
      </c>
      <c r="I2" s="1" t="s">
        <v>14</v>
      </c>
      <c r="J2" s="1" t="s">
        <v>69</v>
      </c>
      <c r="K2" s="1" t="s">
        <v>81</v>
      </c>
      <c r="L2" s="1" t="s">
        <v>91</v>
      </c>
      <c r="M2" s="1" t="s">
        <v>99</v>
      </c>
      <c r="N2" s="1" t="s">
        <v>106</v>
      </c>
    </row>
    <row r="3" spans="1:14" x14ac:dyDescent="0.2">
      <c r="A3" s="1" t="s">
        <v>43</v>
      </c>
      <c r="B3" s="1" t="s">
        <v>11</v>
      </c>
      <c r="C3" s="1" t="s">
        <v>65</v>
      </c>
      <c r="D3" s="1" t="s">
        <v>85</v>
      </c>
      <c r="E3" s="1" t="s">
        <v>94</v>
      </c>
      <c r="F3" s="1" t="s">
        <v>104</v>
      </c>
      <c r="G3" s="1" t="s">
        <v>114</v>
      </c>
      <c r="H3" s="1" t="s">
        <v>23</v>
      </c>
      <c r="I3" s="1" t="s">
        <v>15</v>
      </c>
      <c r="J3" s="1" t="s">
        <v>70</v>
      </c>
      <c r="K3" s="1" t="s">
        <v>82</v>
      </c>
      <c r="L3" s="1" t="s">
        <v>95</v>
      </c>
      <c r="M3" s="1" t="s">
        <v>100</v>
      </c>
      <c r="N3" s="1" t="s">
        <v>107</v>
      </c>
    </row>
    <row r="4" spans="1:14" x14ac:dyDescent="0.2">
      <c r="A4" s="1" t="s">
        <v>44</v>
      </c>
      <c r="B4" s="1" t="s">
        <v>10</v>
      </c>
      <c r="C4" s="1" t="s">
        <v>67</v>
      </c>
      <c r="D4" s="1" t="s">
        <v>74</v>
      </c>
      <c r="E4" s="1" t="s">
        <v>90</v>
      </c>
      <c r="F4" s="1" t="s">
        <v>74</v>
      </c>
      <c r="G4" s="1" t="s">
        <v>115</v>
      </c>
      <c r="H4" s="1" t="s">
        <v>24</v>
      </c>
      <c r="I4" s="1" t="s">
        <v>61</v>
      </c>
      <c r="J4" s="1" t="s">
        <v>71</v>
      </c>
      <c r="K4" s="1" t="s">
        <v>86</v>
      </c>
      <c r="L4" s="1" t="s">
        <v>96</v>
      </c>
      <c r="M4" s="1" t="s">
        <v>101</v>
      </c>
      <c r="N4" s="1" t="s">
        <v>108</v>
      </c>
    </row>
    <row r="5" spans="1:14" x14ac:dyDescent="0.2">
      <c r="A5" s="1" t="s">
        <v>45</v>
      </c>
      <c r="B5" s="1" t="s">
        <v>9</v>
      </c>
      <c r="C5" s="1" t="s">
        <v>68</v>
      </c>
      <c r="E5" s="1" t="s">
        <v>74</v>
      </c>
      <c r="G5" s="1" t="s">
        <v>116</v>
      </c>
      <c r="H5" s="1" t="s">
        <v>25</v>
      </c>
      <c r="I5" s="1" t="s">
        <v>16</v>
      </c>
      <c r="J5" s="1" t="s">
        <v>72</v>
      </c>
      <c r="K5" s="1" t="s">
        <v>79</v>
      </c>
      <c r="L5" s="1" t="s">
        <v>92</v>
      </c>
      <c r="M5" s="1" t="s">
        <v>79</v>
      </c>
      <c r="N5" s="1" t="s">
        <v>109</v>
      </c>
    </row>
    <row r="6" spans="1:14" x14ac:dyDescent="0.2">
      <c r="A6" s="1" t="s">
        <v>46</v>
      </c>
      <c r="B6" s="1" t="s">
        <v>8</v>
      </c>
      <c r="C6" s="1" t="s">
        <v>74</v>
      </c>
      <c r="G6" s="1" t="s">
        <v>117</v>
      </c>
      <c r="H6" s="1" t="s">
        <v>26</v>
      </c>
      <c r="I6" s="1" t="s">
        <v>17</v>
      </c>
      <c r="J6" s="1" t="s">
        <v>73</v>
      </c>
      <c r="K6" s="1" t="s">
        <v>80</v>
      </c>
      <c r="L6" s="1" t="s">
        <v>87</v>
      </c>
      <c r="M6" s="1" t="s">
        <v>3</v>
      </c>
      <c r="N6" s="1" t="s">
        <v>110</v>
      </c>
    </row>
    <row r="7" spans="1:14" x14ac:dyDescent="0.2">
      <c r="A7" s="1" t="s">
        <v>47</v>
      </c>
      <c r="B7" s="1" t="s">
        <v>7</v>
      </c>
      <c r="G7" s="1" t="s">
        <v>74</v>
      </c>
      <c r="H7" s="1" t="s">
        <v>27</v>
      </c>
      <c r="I7" s="1" t="s">
        <v>18</v>
      </c>
      <c r="J7" s="1" t="s">
        <v>76</v>
      </c>
      <c r="N7" s="1" t="s">
        <v>111</v>
      </c>
    </row>
    <row r="8" spans="1:14" x14ac:dyDescent="0.2">
      <c r="A8" s="1" t="s">
        <v>57</v>
      </c>
      <c r="B8" s="1" t="s">
        <v>6</v>
      </c>
      <c r="H8" s="1" t="s">
        <v>28</v>
      </c>
      <c r="I8" s="1" t="s">
        <v>19</v>
      </c>
      <c r="J8" s="1" t="s">
        <v>3</v>
      </c>
      <c r="N8" s="1" t="s">
        <v>79</v>
      </c>
    </row>
    <row r="9" spans="1:14" x14ac:dyDescent="0.2">
      <c r="A9" s="1" t="s">
        <v>58</v>
      </c>
      <c r="B9" s="1" t="s">
        <v>5</v>
      </c>
      <c r="H9" s="1" t="s">
        <v>29</v>
      </c>
      <c r="I9" s="1" t="s">
        <v>20</v>
      </c>
      <c r="N9" s="1" t="s">
        <v>3</v>
      </c>
    </row>
    <row r="10" spans="1:14" x14ac:dyDescent="0.2">
      <c r="A10" s="1" t="s">
        <v>59</v>
      </c>
      <c r="B10" s="1" t="s">
        <v>4</v>
      </c>
      <c r="H10" s="1" t="s">
        <v>30</v>
      </c>
      <c r="I10" s="1" t="s">
        <v>21</v>
      </c>
    </row>
    <row r="11" spans="1:14" x14ac:dyDescent="0.2">
      <c r="A11" s="1" t="s">
        <v>60</v>
      </c>
      <c r="B11" s="1" t="s">
        <v>74</v>
      </c>
      <c r="H11" s="1" t="s">
        <v>31</v>
      </c>
      <c r="I11" s="1" t="s">
        <v>62</v>
      </c>
    </row>
    <row r="12" spans="1:14" x14ac:dyDescent="0.2">
      <c r="A12" s="1" t="s">
        <v>56</v>
      </c>
      <c r="H12" s="1" t="s">
        <v>32</v>
      </c>
      <c r="I12" s="1" t="s">
        <v>76</v>
      </c>
    </row>
    <row r="13" spans="1:14" x14ac:dyDescent="0.2">
      <c r="A13" s="1" t="s">
        <v>55</v>
      </c>
      <c r="H13" s="1" t="s">
        <v>33</v>
      </c>
      <c r="I13" s="1" t="s">
        <v>3</v>
      </c>
    </row>
    <row r="14" spans="1:14" x14ac:dyDescent="0.2">
      <c r="A14" s="1" t="s">
        <v>54</v>
      </c>
      <c r="H14" s="1" t="s">
        <v>34</v>
      </c>
    </row>
    <row r="15" spans="1:14" x14ac:dyDescent="0.2">
      <c r="A15" s="1" t="s">
        <v>53</v>
      </c>
      <c r="H15" s="1" t="s">
        <v>35</v>
      </c>
    </row>
    <row r="16" spans="1:14" x14ac:dyDescent="0.2">
      <c r="A16" s="1" t="s">
        <v>52</v>
      </c>
      <c r="H16" s="1" t="s">
        <v>36</v>
      </c>
    </row>
    <row r="17" spans="1:8" x14ac:dyDescent="0.2">
      <c r="A17" s="1" t="s">
        <v>51</v>
      </c>
      <c r="H17" s="1" t="s">
        <v>37</v>
      </c>
    </row>
    <row r="18" spans="1:8" x14ac:dyDescent="0.2">
      <c r="A18" s="1" t="s">
        <v>50</v>
      </c>
      <c r="H18" s="1" t="s">
        <v>38</v>
      </c>
    </row>
    <row r="19" spans="1:8" x14ac:dyDescent="0.2">
      <c r="A19" s="1" t="s">
        <v>49</v>
      </c>
      <c r="H19" s="1" t="s">
        <v>39</v>
      </c>
    </row>
    <row r="20" spans="1:8" x14ac:dyDescent="0.2">
      <c r="A20" s="2" t="s">
        <v>48</v>
      </c>
      <c r="H20" s="1" t="s">
        <v>40</v>
      </c>
    </row>
    <row r="21" spans="1:8" x14ac:dyDescent="0.2">
      <c r="A21" s="1" t="s">
        <v>74</v>
      </c>
      <c r="H21" s="2" t="s">
        <v>75</v>
      </c>
    </row>
    <row r="22" spans="1:8" x14ac:dyDescent="0.2">
      <c r="H22" s="1" t="s">
        <v>76</v>
      </c>
    </row>
    <row r="23" spans="1:8" x14ac:dyDescent="0.2">
      <c r="H23" s="1" t="s">
        <v>3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Cálculos</vt:lpstr>
      <vt:lpstr>Ter_Carol</vt:lpstr>
      <vt:lpstr>Aps_Carol</vt:lpstr>
      <vt:lpstr>Dicionários</vt:lpstr>
      <vt:lpstr>Senhas</vt:lpstr>
      <vt:lpstr>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Schuch Bertoglio</dc:creator>
  <dc:description/>
  <cp:lastModifiedBy>David Schuch Bertoglio</cp:lastModifiedBy>
  <cp:revision>25</cp:revision>
  <dcterms:created xsi:type="dcterms:W3CDTF">2023-09-03T17:14:12Z</dcterms:created>
  <dcterms:modified xsi:type="dcterms:W3CDTF">2025-12-08T17:02:00Z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